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" sheetId="2" state="visible" r:id="rId4"/>
    <sheet name="Lookup" sheetId="3" state="visible" r:id="rId5"/>
    <sheet name="Pivot_Summary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<sst xmlns="http://schemas.openxmlformats.org/spreadsheetml/2006/main" count="3116" uniqueCount="148">
  <si>
    <t xml:space="preserve">Financial Performance Dashboard — Excel Project</t>
  </si>
  <si>
    <t xml:space="preserve">25 companies · 5 sectors · 5 regions · Quarterly data, 2020–2024</t>
  </si>
  <si>
    <t xml:space="preserve">This workbook is a pure-Excel data analysis project: everything is</t>
  </si>
  <si>
    <t xml:space="preserve">built with native formulas, Excel Tables, data validation and</t>
  </si>
  <si>
    <t xml:space="preserve">conditional formatting — no macros, no external tools.</t>
  </si>
  <si>
    <t xml:space="preserve">Sheets in this workbook:</t>
  </si>
  <si>
    <t xml:space="preserve">  •  Data</t>
  </si>
  <si>
    <t xml:space="preserve">The cleaned dataset as a native Excel Table (FinancialData).</t>
  </si>
  <si>
    <t xml:space="preserve">  •  Lookup</t>
  </si>
  <si>
    <t xml:space="preserve">XLOOKUP / INDEX-MATCH examples to pull a single company's full record.</t>
  </si>
  <si>
    <t xml:space="preserve">  •  Pivot_Summary</t>
  </si>
  <si>
    <t xml:space="preserve">Cross-tab summaries by year, sector and region (formula-built; can be converted to a native PivotTable — see note on that sheet).</t>
  </si>
  <si>
    <t xml:space="preserve">  •  Dashboard</t>
  </si>
  <si>
    <t xml:space="preserve">Interactive dashboard — pick a Sector and Year from the dropdowns and every KPI, table and chart updates live.</t>
  </si>
  <si>
    <t xml:space="preserve">How to turn Pivot_Summary into a native PivotTable:</t>
  </si>
  <si>
    <t xml:space="preserve">1. Click any cell inside the Data table.</t>
  </si>
  <si>
    <t xml:space="preserve">2. Insert -&gt; PivotTable -&gt; use table 'FinancialData' as the source.</t>
  </si>
  <si>
    <t xml:space="preserve">3. Drag Sector/Region/Year to Rows or Columns, and Revenue/Net_Profit to Values.</t>
  </si>
  <si>
    <t xml:space="preserve">Company_ID</t>
  </si>
  <si>
    <t xml:space="preserve">Company_Name</t>
  </si>
  <si>
    <t xml:space="preserve">Sector</t>
  </si>
  <si>
    <t xml:space="preserve">Region</t>
  </si>
  <si>
    <t xml:space="preserve">Year</t>
  </si>
  <si>
    <t xml:space="preserve">Quarter</t>
  </si>
  <si>
    <t xml:space="preserve">Period</t>
  </si>
  <si>
    <t xml:space="preserve">Revenue</t>
  </si>
  <si>
    <t xml:space="preserve">Operating_Expenses</t>
  </si>
  <si>
    <t xml:space="preserve">Marketing_Spend</t>
  </si>
  <si>
    <t xml:space="preserve">Net_Profit</t>
  </si>
  <si>
    <t xml:space="preserve">Employees</t>
  </si>
  <si>
    <t xml:space="preserve">Customer_Count</t>
  </si>
  <si>
    <t xml:space="preserve">Profit_Margin_%</t>
  </si>
  <si>
    <t xml:space="preserve">C001</t>
  </si>
  <si>
    <t xml:space="preserve">NileSoft TE</t>
  </si>
  <si>
    <t xml:space="preserve">Technology</t>
  </si>
  <si>
    <t xml:space="preserve">Jordan</t>
  </si>
  <si>
    <t xml:space="preserve">Q1</t>
  </si>
  <si>
    <t xml:space="preserve">2020Q1</t>
  </si>
  <si>
    <t xml:space="preserve">Q2</t>
  </si>
  <si>
    <t xml:space="preserve">2020Q2</t>
  </si>
  <si>
    <t xml:space="preserve">Q3</t>
  </si>
  <si>
    <t xml:space="preserve">2020Q3</t>
  </si>
  <si>
    <t xml:space="preserve">Q4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</si>
  <si>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</si>
  <si>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</si>
  <si>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</si>
  <si>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</si>
  <si>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</si>
  <si>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</si>
  <si>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</si>
  <si>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</si>
  <si>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</si>
  <si>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</si>
  <si>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</si>
  <si>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</si>
  <si>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</si>
  <si>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</si>
  <si>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</si>
  <si>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</si>
  <si>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</si>
  <si>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C002</t>
  </si>
  <si>
    <t xml:space="preserve">DeltaTech TE</t>
  </si>
  <si>
    <t xml:space="preserve">Morocco</t>
  </si>
  <si>
    <t xml:space="preserve">C003</t>
  </si>
  <si>
    <t xml:space="preserve">CairoByte TE</t>
  </si>
  <si>
    <t xml:space="preserve">UAE</t>
  </si>
  <si>
    <t xml:space="preserve">C004</t>
  </si>
  <si>
    <t xml:space="preserve">PixelWave TE</t>
  </si>
  <si>
    <t xml:space="preserve">C005</t>
  </si>
  <si>
    <t xml:space="preserve">CodeNile TE</t>
  </si>
  <si>
    <t xml:space="preserve">C006</t>
  </si>
  <si>
    <t xml:space="preserve">SouqPlus RE</t>
  </si>
  <si>
    <t xml:space="preserve">Retail</t>
  </si>
  <si>
    <t xml:space="preserve">Saudi Arabia</t>
  </si>
  <si>
    <t xml:space="preserve">C007</t>
  </si>
  <si>
    <t xml:space="preserve">MarketOne RE</t>
  </si>
  <si>
    <t xml:space="preserve">C008</t>
  </si>
  <si>
    <t xml:space="preserve">BazaarLine RE</t>
  </si>
  <si>
    <t xml:space="preserve">C009</t>
  </si>
  <si>
    <t xml:space="preserve">RetailHub RE</t>
  </si>
  <si>
    <t xml:space="preserve">C010</t>
  </si>
  <si>
    <t xml:space="preserve">ShopWay RE</t>
  </si>
  <si>
    <t xml:space="preserve">C011</t>
  </si>
  <si>
    <t xml:space="preserve">MedCare HE</t>
  </si>
  <si>
    <t xml:space="preserve">Healthcare</t>
  </si>
  <si>
    <t xml:space="preserve">C012</t>
  </si>
  <si>
    <t xml:space="preserve">HealPoint HE</t>
  </si>
  <si>
    <t xml:space="preserve">C013</t>
  </si>
  <si>
    <t xml:space="preserve">VitaLife HE</t>
  </si>
  <si>
    <t xml:space="preserve">C014</t>
  </si>
  <si>
    <t xml:space="preserve">PulseMed HE</t>
  </si>
  <si>
    <t xml:space="preserve">C015</t>
  </si>
  <si>
    <t xml:space="preserve">CarePlus HE</t>
  </si>
  <si>
    <t xml:space="preserve">C016</t>
  </si>
  <si>
    <t xml:space="preserve">TrustBank FI</t>
  </si>
  <si>
    <t xml:space="preserve">Finance</t>
  </si>
  <si>
    <t xml:space="preserve">C017</t>
  </si>
  <si>
    <t xml:space="preserve">CapitalWise FI</t>
  </si>
  <si>
    <t xml:space="preserve">C018</t>
  </si>
  <si>
    <t xml:space="preserve">FinEdge FI</t>
  </si>
  <si>
    <t xml:space="preserve">C019</t>
  </si>
  <si>
    <t xml:space="preserve">NileFinance FI</t>
  </si>
  <si>
    <t xml:space="preserve">Egypt</t>
  </si>
  <si>
    <t xml:space="preserve">C020</t>
  </si>
  <si>
    <t xml:space="preserve">AssetPro FI</t>
  </si>
  <si>
    <t xml:space="preserve">C021</t>
  </si>
  <si>
    <t xml:space="preserve">SteelCore IN</t>
  </si>
  <si>
    <t xml:space="preserve">Industrial</t>
  </si>
  <si>
    <t xml:space="preserve">C022</t>
  </si>
  <si>
    <t xml:space="preserve">BuildTech IN</t>
  </si>
  <si>
    <t xml:space="preserve">C023</t>
  </si>
  <si>
    <t xml:space="preserve">IronWorks IN</t>
  </si>
  <si>
    <t xml:space="preserve">C024</t>
  </si>
  <si>
    <t xml:space="preserve">MetroIndustries IN</t>
  </si>
  <si>
    <t xml:space="preserve">C025</t>
  </si>
  <si>
    <t xml:space="preserve">FactoLine IN</t>
  </si>
  <si>
    <t xml:space="preserve">Company Lookup</t>
  </si>
  <si>
    <t xml:space="preserve">Select Company:</t>
  </si>
  <si>
    <t xml:space="preserve">Field</t>
  </si>
  <si>
    <t xml:space="preserve">Value</t>
  </si>
  <si>
    <t xml:space="preserve">Formula used</t>
  </si>
  <si>
    <t xml:space="preserve">INDEX/MATCH</t>
  </si>
  <si>
    <t xml:space="preserve">Total Revenue (all quarters)</t>
  </si>
  <si>
    <t xml:space="preserve">SUMIF</t>
  </si>
  <si>
    <t xml:space="preserve">Total Net Profit (all quarters)</t>
  </si>
  <si>
    <t xml:space="preserve">Average Profit Margin %</t>
  </si>
  <si>
    <t xml:space="preserve">AVERAGEIF</t>
  </si>
  <si>
    <t xml:space="preserve">Average Employees per Quarter</t>
  </si>
  <si>
    <t xml:space="preserve">Note: INDEX/MATCH used for maximum compatibility; =XLOOKUP($C$4,...) is a direct 1-line equivalent in Excel 365/2021.</t>
  </si>
  <si>
    <t xml:space="preserve">Cross-Tab Summaries (formula-built)</t>
  </si>
  <si>
    <t xml:space="preserve">Tip: select the Data table and use Insert &gt; PivotTable to build a native, drag-and-drop version of these views.</t>
  </si>
  <si>
    <t xml:space="preserve">Revenue by Sector x Year</t>
  </si>
  <si>
    <t xml:space="preserve">Total</t>
  </si>
  <si>
    <t xml:space="preserve">Revenue by Sector x Region</t>
  </si>
  <si>
    <t xml:space="preserve">Financial Performance Dashboard</t>
  </si>
  <si>
    <t xml:space="preserve">Sector:</t>
  </si>
  <si>
    <t xml:space="preserve">All</t>
  </si>
  <si>
    <t xml:space="preserve">Year:</t>
  </si>
  <si>
    <t xml:space="preserve">Total Revenue</t>
  </si>
  <si>
    <t xml:space="preserve">Total Net Profit</t>
  </si>
  <si>
    <t xml:space="preserve">Avg Profit Margin</t>
  </si>
  <si>
    <t xml:space="preserve">Total Employees</t>
  </si>
  <si>
    <t xml:space="preserve">Revenue Trend (respects filters above)</t>
  </si>
  <si>
    <t xml:space="preserve">Top 5 Companies by Net Profit (respects Sector filter)</t>
  </si>
  <si>
    <t xml:space="preserve">Rank</t>
  </si>
  <si>
    <t xml:space="preserve">Company</t>
  </si>
  <si>
    <t xml:space="preserve">Net Profit</t>
  </si>
  <si>
    <t xml:space="preserve">(helper — company totals for current sector filter)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</si>
</sst>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0"/>
    <numFmt numFmtId="167" formatCode="0.0%"/>
    <numFmt numFmtId="168" formatCode="0.0"/>
    <numFmt numFmtId="169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4057"/>
      <name val="Arial"/>
      <family val="0"/>
      <charset val="1"/>
    </font>
    <font>
      <sz val="12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E86AB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2E4057"/>
      <name val="Arial"/>
      <family val="0"/>
      <charset val="1"/>
    </font>
    <font>
      <b val="true"/>
      <sz val="12"/>
      <color rgb="FFB8860B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2E4057"/>
      <name val="Arial"/>
      <family val="0"/>
      <charset val="1"/>
    </font>
    <font>
      <b val="true"/>
      <sz val="18"/>
      <color rgb="FF2E86A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2">
    <dxf>
      <fill>
        <patternFill patternType="solid">
          <fgColor rgb="FF2E40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BCF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2DF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8736C"/>
          <bgColor rgb="FF000000"/>
        </patternFill>
      </fill>
    </dxf>
    <dxf>
      <fill>
        <patternFill patternType="solid">
          <fgColor rgb="FFF8736D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B6E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2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98E72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774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0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B3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2E86AB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Year (filtered)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Dashboard!$C$12:$C$16</c:f>
              <c:numCache>
                <c:formatCode>\$#,##0;"($"#,##0\);\-</c:formatCode>
                <c:ptCount val="5"/>
                <c:pt idx="0">
                  <c:v>514436583.3</c:v>
                </c:pt>
                <c:pt idx="1">
                  <c:v>576923498.56</c:v>
                </c:pt>
                <c:pt idx="2">
                  <c:v>592213329.65</c:v>
                </c:pt>
                <c:pt idx="3">
                  <c:v>606030439.81</c:v>
                </c:pt>
                <c:pt idx="4">
                  <c:v>615605559.26</c:v>
                </c:pt>
              </c:numCache>
            </c:numRef>
          </c:val>
        </c:ser>
        <c:gapWidth val="150"/>
        <c:overlap val="0"/>
        <c:axId val="81643529"/>
        <c:axId val="83307148"/>
      </c:barChart>
      <c:catAx>
        <c:axId val="81643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07148"/>
        <c:crosses val="autoZero"/>
        <c:auto val="1"/>
        <c:lblAlgn val="ctr"/>
        <c:lblOffset val="100"/>
        <c:noMultiLvlLbl val="0"/>
      </c:catAx>
      <c:valAx>
        <c:axId val="83307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43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41040</xdr:rowOff>
    </xdr:from>
    <xdr:to>
      <xdr:col>6</xdr:col>
      <xdr:colOff>825840</xdr:colOff>
      <xdr:row>35</xdr:row>
      <xdr:rowOff>42480</xdr:rowOff>
    </xdr:to>
    <xdr:graphicFrame>
      <xdr:nvGraphicFramePr>
        <xdr:cNvPr id="0" name="Chart 1"/>
        <xdr:cNvGraphicFramePr/>
      </xdr:nvGraphicFramePr>
      <xdr:xfrm>
        <a:off x="141120" y="3619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inancialData" displayName="FinancialData" ref="A1:N501" headerRowCount="1" totalsRowCount="0" totalsRowShown="0">
  <autoFilter ref="A1:N501"/>
  <tableColumns count="14">
    <tableColumn id="1" name="Company_ID"/>
    <tableColumn id="2" name="Company_Name"/>
    <tableColumn id="3" name="Sector"/>
    <tableColumn id="4" name="Region"/>
    <tableColumn id="5" name="Year"/>
    <tableColumn id="6" name="Quarter"/>
    <tableColumn id="7" name="Period"/>
    <tableColumn id="8" name="Revenue"/>
    <tableColumn id="9" name="Operating_Expenses"/>
    <tableColumn id="10" name="Marketing_Spend"/>
    <tableColumn id="11" name="Net_Profit"/>
    <tableColumn id="12" name="Employees"/>
    <tableColumn id="13" name="Customer_Count"/>
    <tableColumn id="14" name="Profit_Margin_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0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3" t="s">
        <v>2</v>
      </c>
    </row>
    <row r="8" customFormat="false" ht="15" hidden="false" customHeight="false" outlineLevel="0" collapsed="false">
      <c r="B8" s="3" t="s">
        <v>3</v>
      </c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3" t="s">
        <v>5</v>
      </c>
    </row>
    <row r="13" customFormat="false" ht="15" hidden="false" customHeight="false" outlineLevel="0" collapsed="false">
      <c r="B13" s="4" t="s">
        <v>6</v>
      </c>
      <c r="C13" s="5" t="s">
        <v>7</v>
      </c>
    </row>
    <row r="14" customFormat="false" ht="15" hidden="false" customHeight="false" outlineLevel="0" collapsed="false">
      <c r="B14" s="4" t="s">
        <v>8</v>
      </c>
      <c r="C14" s="5" t="s">
        <v>9</v>
      </c>
    </row>
    <row r="15" customFormat="false" ht="15" hidden="false" customHeight="false" outlineLevel="0" collapsed="false">
      <c r="B15" s="4" t="s">
        <v>10</v>
      </c>
      <c r="C15" s="5" t="s">
        <v>11</v>
      </c>
    </row>
    <row r="16" customFormat="false" ht="15" hidden="false" customHeight="false" outlineLevel="0" collapsed="false">
      <c r="B16" s="4" t="s">
        <v>12</v>
      </c>
      <c r="C16" s="5" t="s">
        <v>13</v>
      </c>
    </row>
    <row r="19" customFormat="false" ht="15" hidden="false" customHeight="false" outlineLevel="0" collapsed="false">
      <c r="B19" s="6" t="s">
        <v>14</v>
      </c>
    </row>
    <row r="20" customFormat="false" ht="15" hidden="false" customHeight="false" outlineLevel="0" collapsed="false">
      <c r="B20" s="5" t="s">
        <v>15</v>
      </c>
    </row>
    <row r="21" customFormat="false" ht="15" hidden="false" customHeight="false" outlineLevel="0" collapsed="false">
      <c r="B21" s="5" t="s">
        <v>16</v>
      </c>
    </row>
    <row r="22" customFormat="false" ht="15" hidden="false" customHeight="false" outlineLevel="0" collapsed="false">
      <c r="B22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11" min="9" style="0" width="2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17"/>
  </cols>
  <sheetData>
    <row r="1" customFormat="false" ht="15" hidden="false" customHeight="false" outlineLevel="0" collapsed="false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</row>
    <row r="2" customFormat="false" ht="15" hidden="false" customHeight="false" outlineLevel="0" collapsed="false">
      <c r="A2" s="8" t="s">
        <v>32</v>
      </c>
      <c r="B2" s="8" t="s">
        <v>33</v>
      </c>
      <c r="C2" s="8" t="s">
        <v>34</v>
      </c>
      <c r="D2" s="8" t="s">
        <v>35</v>
      </c>
      <c r="E2" s="8" t="n">
        <v>2020</v>
      </c>
      <c r="F2" s="8" t="s">
        <v>36</v>
      </c>
      <c r="G2" s="8" t="s">
        <v>37</v>
      </c>
      <c r="H2" s="9" t="n">
        <v>4582564.69</v>
      </c>
      <c r="I2" s="9" t="n">
        <v>2870941.94</v>
      </c>
      <c r="J2" s="9" t="n">
        <v>307504.57</v>
      </c>
      <c r="K2" s="9" t="n">
        <v>1404118.18</v>
      </c>
      <c r="L2" s="8" t="n">
        <v>220</v>
      </c>
      <c r="M2" s="8" t="n">
        <v>2025</v>
      </c>
      <c r="N2" s="10" t="n">
        <v>30.64</v>
      </c>
    </row>
    <row r="3" customFormat="false" ht="15" hidden="false" customHeight="false" outlineLevel="0" collapsed="false">
      <c r="A3" s="8" t="s">
        <v>32</v>
      </c>
      <c r="B3" s="8" t="s">
        <v>33</v>
      </c>
      <c r="C3" s="8" t="s">
        <v>34</v>
      </c>
      <c r="D3" s="8" t="s">
        <v>35</v>
      </c>
      <c r="E3" s="8" t="n">
        <v>2020</v>
      </c>
      <c r="F3" s="8" t="s">
        <v>38</v>
      </c>
      <c r="G3" s="8" t="s">
        <v>39</v>
      </c>
      <c r="H3" s="9" t="n">
        <v>5158573.48</v>
      </c>
      <c r="I3" s="9" t="n">
        <v>2904330.1</v>
      </c>
      <c r="J3" s="9" t="n">
        <v>207536.88</v>
      </c>
      <c r="K3" s="9" t="n">
        <v>2046706.5</v>
      </c>
      <c r="L3" s="8" t="n">
        <v>220</v>
      </c>
      <c r="M3" s="8" t="n">
        <v>5339</v>
      </c>
      <c r="N3" s="10" t="n">
        <v>39.68</v>
      </c>
    </row>
    <row r="4" customFormat="false" ht="15" hidden="false" customHeight="false" outlineLevel="0" collapsed="false">
      <c r="A4" s="8" t="s">
        <v>32</v>
      </c>
      <c r="B4" s="8" t="s">
        <v>33</v>
      </c>
      <c r="C4" s="8" t="s">
        <v>34</v>
      </c>
      <c r="D4" s="8" t="s">
        <v>35</v>
      </c>
      <c r="E4" s="8" t="n">
        <v>2020</v>
      </c>
      <c r="F4" s="8" t="s">
        <v>40</v>
      </c>
      <c r="G4" s="8" t="s">
        <v>41</v>
      </c>
      <c r="H4" s="9" t="n">
        <v>4930718.4</v>
      </c>
      <c r="I4" s="9" t="n">
        <v>3533545.02</v>
      </c>
      <c r="J4" s="9" t="n">
        <v>328384.86</v>
      </c>
      <c r="K4" s="9" t="n">
        <v>1068788.52</v>
      </c>
      <c r="L4" s="8" t="n">
        <v>220</v>
      </c>
      <c r="M4" s="8" t="n">
        <v>4442</v>
      </c>
      <c r="N4" s="10" t="n">
        <v>21.68</v>
      </c>
    </row>
    <row r="5" customFormat="false" ht="15" hidden="false" customHeight="false" outlineLevel="0" collapsed="false">
      <c r="A5" s="8" t="s">
        <v>32</v>
      </c>
      <c r="B5" s="8" t="s">
        <v>33</v>
      </c>
      <c r="C5" s="8" t="s">
        <v>34</v>
      </c>
      <c r="D5" s="8" t="s">
        <v>35</v>
      </c>
      <c r="E5" s="8" t="n">
        <v>2020</v>
      </c>
      <c r="F5" s="8" t="s">
        <v>42</v>
      </c>
      <c r="G5" s="8" t="s">
        <v>43</v>
      </c>
      <c r="H5" s="9" t="n">
        <v>4159461.78</v>
      </c>
      <c r="I5" s="9" t="n">
        <v>2720344.59</v>
      </c>
      <c r="J5" s="9" t="n">
        <v>202576.87</v>
      </c>
      <c r="K5" s="9" t="n">
        <v>1236540.32</v>
      </c>
      <c r="L5" s="8" t="n">
        <v>218</v>
      </c>
      <c r="M5" s="8" t="n">
        <v>1698</v>
      </c>
      <c r="N5" s="10" t="n">
        <v>29.73</v>
      </c>
    </row>
    <row r="6" customFormat="false" ht="15" hidden="false" customHeight="false" outlineLevel="0" collapsed="false">
      <c r="A6" s="8" t="s">
        <v>32</v>
      </c>
      <c r="B6" s="8" t="s">
        <v>33</v>
      </c>
      <c r="C6" s="8" t="s">
        <v>34</v>
      </c>
      <c r="D6" s="8" t="s">
        <v>35</v>
      </c>
      <c r="E6" s="8" t="n">
        <v>2021</v>
      </c>
      <c r="F6" s="8" t="s">
        <v>36</v>
      </c>
      <c r="G6" s="8" t="s">
        <v>44</v>
      </c>
      <c r="H6" s="9" t="n">
        <v>4324609.46</v>
      </c>
      <c r="I6" s="9" t="n">
        <v>3007568.68</v>
      </c>
      <c r="J6" s="9" t="n">
        <v>370184.55</v>
      </c>
      <c r="K6" s="9" t="n">
        <v>946856.23</v>
      </c>
      <c r="L6" s="8" t="n">
        <v>220</v>
      </c>
      <c r="M6" s="8" t="n">
        <v>2565</v>
      </c>
      <c r="N6" s="10" t="n">
        <v>21.89</v>
      </c>
    </row>
    <row r="7" customFormat="false" ht="15" hidden="false" customHeight="false" outlineLevel="0" collapsed="false">
      <c r="A7" s="8" t="s">
        <v>32</v>
      </c>
      <c r="B7" s="8" t="s">
        <v>33</v>
      </c>
      <c r="C7" s="8" t="s">
        <v>34</v>
      </c>
      <c r="D7" s="8" t="s">
        <v>35</v>
      </c>
      <c r="E7" s="8" t="n">
        <v>2021</v>
      </c>
      <c r="F7" s="8" t="s">
        <v>38</v>
      </c>
      <c r="G7" s="8" t="s">
        <v>45</v>
      </c>
      <c r="H7" s="9" t="n">
        <v>4813693.55</v>
      </c>
      <c r="I7" s="9" t="n">
        <v>3021726.12</v>
      </c>
      <c r="J7" s="9" t="n">
        <v>238373.24</v>
      </c>
      <c r="K7" s="9" t="n">
        <v>1553594.19</v>
      </c>
      <c r="L7" s="8" t="n">
        <v>220</v>
      </c>
      <c r="M7" s="8" t="n">
        <v>3422</v>
      </c>
      <c r="N7" s="10" t="n">
        <v>32.27</v>
      </c>
    </row>
    <row r="8" customFormat="false" ht="15" hidden="false" customHeight="false" outlineLevel="0" collapsed="false">
      <c r="A8" s="8" t="s">
        <v>32</v>
      </c>
      <c r="B8" s="8" t="s">
        <v>33</v>
      </c>
      <c r="C8" s="8" t="s">
        <v>34</v>
      </c>
      <c r="D8" s="8" t="s">
        <v>35</v>
      </c>
      <c r="E8" s="8" t="n">
        <v>2021</v>
      </c>
      <c r="F8" s="8" t="s">
        <v>40</v>
      </c>
      <c r="G8" s="8" t="s">
        <v>46</v>
      </c>
      <c r="H8" s="9" t="n">
        <v>4588318.79</v>
      </c>
      <c r="I8" s="9" t="n">
        <v>2675234.81</v>
      </c>
      <c r="J8" s="9" t="n">
        <v>219213.4</v>
      </c>
      <c r="K8" s="9" t="n">
        <v>1693870.58</v>
      </c>
      <c r="L8" s="8" t="n">
        <v>223</v>
      </c>
      <c r="M8" s="8" t="n">
        <v>3118</v>
      </c>
      <c r="N8" s="10" t="n">
        <v>36.92</v>
      </c>
    </row>
    <row r="9" customFormat="false" ht="15" hidden="false" customHeight="false" outlineLevel="0" collapsed="false">
      <c r="A9" s="8" t="s">
        <v>32</v>
      </c>
      <c r="B9" s="8" t="s">
        <v>33</v>
      </c>
      <c r="C9" s="8" t="s">
        <v>34</v>
      </c>
      <c r="D9" s="8" t="s">
        <v>35</v>
      </c>
      <c r="E9" s="8" t="n">
        <v>2021</v>
      </c>
      <c r="F9" s="8" t="s">
        <v>42</v>
      </c>
      <c r="G9" s="8" t="s">
        <v>47</v>
      </c>
      <c r="H9" s="9" t="n">
        <v>4553783.91</v>
      </c>
      <c r="I9" s="9" t="n">
        <v>3148356.27</v>
      </c>
      <c r="J9" s="9" t="n">
        <v>359419.63</v>
      </c>
      <c r="K9" s="9" t="n">
        <v>1046008.01</v>
      </c>
      <c r="L9" s="8" t="n">
        <v>226</v>
      </c>
      <c r="M9" s="8" t="n">
        <v>4918</v>
      </c>
      <c r="N9" s="10" t="n">
        <v>22.97</v>
      </c>
    </row>
    <row r="10" customFormat="false" ht="15" hidden="false" customHeight="false" outlineLevel="0" collapsed="false">
      <c r="A10" s="8" t="s">
        <v>32</v>
      </c>
      <c r="B10" s="8" t="s">
        <v>33</v>
      </c>
      <c r="C10" s="8" t="s">
        <v>34</v>
      </c>
      <c r="D10" s="8" t="s">
        <v>35</v>
      </c>
      <c r="E10" s="8" t="n">
        <v>2022</v>
      </c>
      <c r="F10" s="8" t="s">
        <v>36</v>
      </c>
      <c r="G10" s="8" t="s">
        <v>48</v>
      </c>
      <c r="H10" s="9" t="n">
        <v>5243376.9</v>
      </c>
      <c r="I10" s="9" t="n">
        <v>3355185.15</v>
      </c>
      <c r="J10" s="9" t="n">
        <v>424725.67</v>
      </c>
      <c r="K10" s="9" t="n">
        <v>1463466.08</v>
      </c>
      <c r="L10" s="8" t="n">
        <v>227</v>
      </c>
      <c r="M10" s="8" t="n">
        <v>2706</v>
      </c>
      <c r="N10" s="10" t="n">
        <v>27.91</v>
      </c>
    </row>
    <row r="11" customFormat="false" ht="15" hidden="false" customHeight="false" outlineLevel="0" collapsed="false">
      <c r="A11" s="8" t="s">
        <v>32</v>
      </c>
      <c r="B11" s="8" t="s">
        <v>33</v>
      </c>
      <c r="C11" s="8" t="s">
        <v>34</v>
      </c>
      <c r="D11" s="8" t="s">
        <v>35</v>
      </c>
      <c r="E11" s="8" t="n">
        <v>2022</v>
      </c>
      <c r="F11" s="8" t="s">
        <v>38</v>
      </c>
      <c r="G11" s="8" t="s">
        <v>49</v>
      </c>
      <c r="H11" s="9" t="n">
        <v>5329688.37</v>
      </c>
      <c r="I11" s="9" t="n">
        <v>3610925.13</v>
      </c>
      <c r="J11" s="9" t="n">
        <v>393205.06</v>
      </c>
      <c r="K11" s="9" t="n">
        <v>1325558.18</v>
      </c>
      <c r="L11" s="8" t="n">
        <v>229</v>
      </c>
      <c r="M11" s="8" t="n">
        <v>5312</v>
      </c>
      <c r="N11" s="10" t="n">
        <v>24.87</v>
      </c>
    </row>
    <row r="12" customFormat="false" ht="15" hidden="false" customHeight="false" outlineLevel="0" collapsed="false">
      <c r="A12" s="8" t="s">
        <v>32</v>
      </c>
      <c r="B12" s="8" t="s">
        <v>33</v>
      </c>
      <c r="C12" s="8" t="s">
        <v>34</v>
      </c>
      <c r="D12" s="8" t="s">
        <v>35</v>
      </c>
      <c r="E12" s="8" t="n">
        <v>2022</v>
      </c>
      <c r="F12" s="8" t="s">
        <v>40</v>
      </c>
      <c r="G12" s="8" t="s">
        <v>50</v>
      </c>
      <c r="H12" s="9" t="n">
        <v>5311544.95</v>
      </c>
      <c r="I12" s="9" t="n">
        <v>3193373.41</v>
      </c>
      <c r="J12" s="9" t="n">
        <v>234553.02</v>
      </c>
      <c r="K12" s="9" t="n">
        <v>1883618.52</v>
      </c>
      <c r="L12" s="8" t="n">
        <v>232</v>
      </c>
      <c r="M12" s="8" t="n">
        <v>4647</v>
      </c>
      <c r="N12" s="10" t="n">
        <v>35.46</v>
      </c>
    </row>
    <row r="13" customFormat="false" ht="15" hidden="false" customHeight="false" outlineLevel="0" collapsed="false">
      <c r="A13" s="8" t="s">
        <v>32</v>
      </c>
      <c r="B13" s="8" t="s">
        <v>33</v>
      </c>
      <c r="C13" s="8" t="s">
        <v>34</v>
      </c>
      <c r="D13" s="8" t="s">
        <v>35</v>
      </c>
      <c r="E13" s="8" t="n">
        <v>2022</v>
      </c>
      <c r="F13" s="8" t="s">
        <v>42</v>
      </c>
      <c r="G13" s="8" t="s">
        <v>51</v>
      </c>
      <c r="H13" s="9" t="n">
        <v>4595537.64</v>
      </c>
      <c r="I13" s="9" t="n">
        <v>3045256.52</v>
      </c>
      <c r="J13" s="9" t="n">
        <v>268941.03</v>
      </c>
      <c r="K13" s="9" t="n">
        <v>1281340.09</v>
      </c>
      <c r="L13" s="8" t="n">
        <v>235</v>
      </c>
      <c r="M13" s="8" t="n">
        <v>2514</v>
      </c>
      <c r="N13" s="10" t="n">
        <v>27.88</v>
      </c>
    </row>
    <row r="14" customFormat="false" ht="15" hidden="false" customHeight="false" outlineLevel="0" collapsed="false">
      <c r="A14" s="8" t="s">
        <v>32</v>
      </c>
      <c r="B14" s="8" t="s">
        <v>33</v>
      </c>
      <c r="C14" s="8" t="s">
        <v>34</v>
      </c>
      <c r="D14" s="8" t="s">
        <v>35</v>
      </c>
      <c r="E14" s="8" t="n">
        <v>2023</v>
      </c>
      <c r="F14" s="8" t="s">
        <v>36</v>
      </c>
      <c r="G14" s="8" t="s">
        <v>52</v>
      </c>
      <c r="H14" s="9" t="n">
        <v>5098131.22</v>
      </c>
      <c r="I14" s="9" t="n">
        <v>3099410.35</v>
      </c>
      <c r="J14" s="9" t="n">
        <v>176491.16</v>
      </c>
      <c r="K14" s="9" t="n">
        <v>1822229.71</v>
      </c>
      <c r="L14" s="8" t="n">
        <v>235</v>
      </c>
      <c r="M14" s="8" t="n">
        <v>2234</v>
      </c>
      <c r="N14" s="10" t="n">
        <v>35.74</v>
      </c>
    </row>
    <row r="15" customFormat="false" ht="15" hidden="false" customHeight="false" outlineLevel="0" collapsed="false">
      <c r="A15" s="8" t="s">
        <v>32</v>
      </c>
      <c r="B15" s="8" t="s">
        <v>33</v>
      </c>
      <c r="C15" s="8" t="s">
        <v>34</v>
      </c>
      <c r="D15" s="8" t="s">
        <v>35</v>
      </c>
      <c r="E15" s="8" t="n">
        <v>2023</v>
      </c>
      <c r="F15" s="8" t="s">
        <v>38</v>
      </c>
      <c r="G15" s="8" t="s">
        <v>53</v>
      </c>
      <c r="H15" s="9" t="n">
        <v>6132359.57</v>
      </c>
      <c r="I15" s="9" t="n">
        <v>3883635.51</v>
      </c>
      <c r="J15" s="9" t="n">
        <v>264344.11</v>
      </c>
      <c r="K15" s="9" t="n">
        <v>1984379.95</v>
      </c>
      <c r="L15" s="8" t="n">
        <v>232</v>
      </c>
      <c r="M15" s="8" t="n">
        <v>6086</v>
      </c>
      <c r="N15" s="10" t="n">
        <v>32.36</v>
      </c>
    </row>
    <row r="16" customFormat="false" ht="15" hidden="false" customHeight="false" outlineLevel="0" collapsed="false">
      <c r="A16" s="8" t="s">
        <v>32</v>
      </c>
      <c r="B16" s="8" t="s">
        <v>33</v>
      </c>
      <c r="C16" s="8" t="s">
        <v>34</v>
      </c>
      <c r="D16" s="8" t="s">
        <v>35</v>
      </c>
      <c r="E16" s="8" t="n">
        <v>2023</v>
      </c>
      <c r="F16" s="8" t="s">
        <v>40</v>
      </c>
      <c r="G16" s="8" t="s">
        <v>54</v>
      </c>
      <c r="H16" s="9" t="n">
        <v>5237150.49</v>
      </c>
      <c r="I16" s="9" t="n">
        <v>3327798.32</v>
      </c>
      <c r="J16" s="9" t="n">
        <v>279923.075</v>
      </c>
      <c r="K16" s="9" t="n">
        <v>1629429.095</v>
      </c>
      <c r="L16" s="8" t="n">
        <v>231</v>
      </c>
      <c r="M16" s="8" t="n">
        <v>6451</v>
      </c>
      <c r="N16" s="10" t="n">
        <v>31.11</v>
      </c>
    </row>
    <row r="17" customFormat="false" ht="15" hidden="false" customHeight="false" outlineLevel="0" collapsed="false">
      <c r="A17" s="8" t="s">
        <v>32</v>
      </c>
      <c r="B17" s="8" t="s">
        <v>33</v>
      </c>
      <c r="C17" s="8" t="s">
        <v>34</v>
      </c>
      <c r="D17" s="8" t="s">
        <v>35</v>
      </c>
      <c r="E17" s="8" t="n">
        <v>2023</v>
      </c>
      <c r="F17" s="8" t="s">
        <v>42</v>
      </c>
      <c r="G17" s="8" t="s">
        <v>55</v>
      </c>
      <c r="H17" s="9" t="n">
        <v>5115550.42</v>
      </c>
      <c r="I17" s="9" t="n">
        <v>3040793.47</v>
      </c>
      <c r="J17" s="9" t="n">
        <v>281583.73</v>
      </c>
      <c r="K17" s="9" t="n">
        <v>1793173.22</v>
      </c>
      <c r="L17" s="8" t="n">
        <v>233</v>
      </c>
      <c r="M17" s="8" t="n">
        <v>2128</v>
      </c>
      <c r="N17" s="10" t="n">
        <v>35.05</v>
      </c>
    </row>
    <row r="18" customFormat="false" ht="15" hidden="false" customHeight="false" outlineLevel="0" collapsed="false">
      <c r="A18" s="8" t="s">
        <v>32</v>
      </c>
      <c r="B18" s="8" t="s">
        <v>33</v>
      </c>
      <c r="C18" s="8" t="s">
        <v>34</v>
      </c>
      <c r="D18" s="8" t="s">
        <v>35</v>
      </c>
      <c r="E18" s="8" t="n">
        <v>2024</v>
      </c>
      <c r="F18" s="8" t="s">
        <v>36</v>
      </c>
      <c r="G18" s="8" t="s">
        <v>56</v>
      </c>
      <c r="H18" s="9" t="n">
        <v>5634110.4</v>
      </c>
      <c r="I18" s="9" t="n">
        <v>3171882.74</v>
      </c>
      <c r="J18" s="9" t="n">
        <v>305538.77</v>
      </c>
      <c r="K18" s="9" t="n">
        <v>2156688.89</v>
      </c>
      <c r="L18" s="8" t="n">
        <v>232</v>
      </c>
      <c r="M18" s="8" t="n">
        <v>2840</v>
      </c>
      <c r="N18" s="10" t="n">
        <v>38.28</v>
      </c>
    </row>
    <row r="19" customFormat="false" ht="15" hidden="false" customHeight="false" outlineLevel="0" collapsed="false">
      <c r="A19" s="8" t="s">
        <v>32</v>
      </c>
      <c r="B19" s="8" t="s">
        <v>33</v>
      </c>
      <c r="C19" s="8" t="s">
        <v>34</v>
      </c>
      <c r="D19" s="8" t="s">
        <v>35</v>
      </c>
      <c r="E19" s="8" t="n">
        <v>2024</v>
      </c>
      <c r="F19" s="8" t="s">
        <v>38</v>
      </c>
      <c r="G19" s="8" t="s">
        <v>57</v>
      </c>
      <c r="H19" s="9" t="n">
        <v>5812668.26</v>
      </c>
      <c r="I19" s="9" t="n">
        <v>3528104.21</v>
      </c>
      <c r="J19" s="9" t="n">
        <v>279314.4</v>
      </c>
      <c r="K19" s="9" t="n">
        <v>2005249.65</v>
      </c>
      <c r="L19" s="8" t="n">
        <v>234</v>
      </c>
      <c r="M19" s="8" t="n">
        <v>3513</v>
      </c>
      <c r="N19" s="10" t="n">
        <v>34.5</v>
      </c>
    </row>
    <row r="20" customFormat="false" ht="15" hidden="false" customHeight="false" outlineLevel="0" collapsed="false">
      <c r="A20" s="8" t="s">
        <v>32</v>
      </c>
      <c r="B20" s="8" t="s">
        <v>33</v>
      </c>
      <c r="C20" s="8" t="s">
        <v>34</v>
      </c>
      <c r="D20" s="8" t="s">
        <v>35</v>
      </c>
      <c r="E20" s="8" t="n">
        <v>2024</v>
      </c>
      <c r="F20" s="8" t="s">
        <v>40</v>
      </c>
      <c r="G20" s="8" t="s">
        <v>58</v>
      </c>
      <c r="H20" s="9" t="n">
        <v>5653345.33</v>
      </c>
      <c r="I20" s="9" t="n">
        <v>3878992.53</v>
      </c>
      <c r="J20" s="9" t="n">
        <v>384772.79</v>
      </c>
      <c r="K20" s="9" t="n">
        <v>1389580.01</v>
      </c>
      <c r="L20" s="8" t="n">
        <v>237</v>
      </c>
      <c r="M20" s="8" t="n">
        <v>3249</v>
      </c>
      <c r="N20" s="10" t="n">
        <v>24.58</v>
      </c>
    </row>
    <row r="21" customFormat="false" ht="15" hidden="false" customHeight="false" outlineLevel="0" collapsed="false">
      <c r="A21" s="8" t="s">
        <v>32</v>
      </c>
      <c r="B21" s="8" t="s">
        <v>33</v>
      </c>
      <c r="C21" s="8" t="s">
        <v>34</v>
      </c>
      <c r="D21" s="8" t="s">
        <v>35</v>
      </c>
      <c r="E21" s="8" t="n">
        <v>2024</v>
      </c>
      <c r="F21" s="8" t="s">
        <v>42</v>
      </c>
      <c r="G21" s="8" t="s">
        <v>59</v>
      </c>
      <c r="H21" s="9" t="n">
        <v>5671597.04</v>
      </c>
      <c r="I21" s="9" t="n">
        <v>3983298.28</v>
      </c>
      <c r="J21" s="9" t="n">
        <v>398872.83</v>
      </c>
      <c r="K21" s="9" t="n">
        <v>1289425.93</v>
      </c>
      <c r="L21" s="8" t="n">
        <v>237</v>
      </c>
      <c r="M21" s="8" t="n">
        <v>3979</v>
      </c>
      <c r="N21" s="10" t="n">
        <v>22.73</v>
      </c>
    </row>
    <row r="22" customFormat="false" ht="15" hidden="false" customHeight="false" outlineLevel="0" collapsed="false">
      <c r="A22" s="8" t="s">
        <v>60</v>
      </c>
      <c r="B22" s="8" t="s">
        <v>61</v>
      </c>
      <c r="C22" s="8" t="s">
        <v>34</v>
      </c>
      <c r="D22" s="8" t="s">
        <v>62</v>
      </c>
      <c r="E22" s="8" t="n">
        <v>2020</v>
      </c>
      <c r="F22" s="8" t="s">
        <v>36</v>
      </c>
      <c r="G22" s="8" t="s">
        <v>37</v>
      </c>
      <c r="H22" s="9" t="n">
        <v>6472210.13</v>
      </c>
      <c r="I22" s="9" t="n">
        <v>4217549.43</v>
      </c>
      <c r="J22" s="9" t="n">
        <v>252694.84</v>
      </c>
      <c r="K22" s="9" t="n">
        <v>2001965.86</v>
      </c>
      <c r="L22" s="8" t="n">
        <v>217</v>
      </c>
      <c r="M22" s="8" t="n">
        <v>4779</v>
      </c>
      <c r="N22" s="10" t="n">
        <v>30.93</v>
      </c>
    </row>
    <row r="23" customFormat="false" ht="15" hidden="false" customHeight="false" outlineLevel="0" collapsed="false">
      <c r="A23" s="8" t="s">
        <v>60</v>
      </c>
      <c r="B23" s="8" t="s">
        <v>61</v>
      </c>
      <c r="C23" s="8" t="s">
        <v>34</v>
      </c>
      <c r="D23" s="8" t="s">
        <v>62</v>
      </c>
      <c r="E23" s="8" t="n">
        <v>2020</v>
      </c>
      <c r="F23" s="8" t="s">
        <v>38</v>
      </c>
      <c r="G23" s="8" t="s">
        <v>39</v>
      </c>
      <c r="H23" s="9" t="n">
        <v>7040734.18</v>
      </c>
      <c r="I23" s="9" t="n">
        <v>4593506.02</v>
      </c>
      <c r="J23" s="9" t="n">
        <v>218229.45</v>
      </c>
      <c r="K23" s="9" t="n">
        <v>2228998.71</v>
      </c>
      <c r="L23" s="8" t="n">
        <v>214</v>
      </c>
      <c r="M23" s="8" t="n">
        <v>6421</v>
      </c>
      <c r="N23" s="10" t="n">
        <v>31.66</v>
      </c>
    </row>
    <row r="24" customFormat="false" ht="15" hidden="false" customHeight="false" outlineLevel="0" collapsed="false">
      <c r="A24" s="8" t="s">
        <v>60</v>
      </c>
      <c r="B24" s="8" t="s">
        <v>61</v>
      </c>
      <c r="C24" s="8" t="s">
        <v>34</v>
      </c>
      <c r="D24" s="8" t="s">
        <v>62</v>
      </c>
      <c r="E24" s="8" t="n">
        <v>2020</v>
      </c>
      <c r="F24" s="8" t="s">
        <v>40</v>
      </c>
      <c r="G24" s="8" t="s">
        <v>41</v>
      </c>
      <c r="H24" s="9" t="n">
        <v>6591417.51</v>
      </c>
      <c r="I24" s="9" t="n">
        <v>4516030.76</v>
      </c>
      <c r="J24" s="9" t="n">
        <v>279923.075</v>
      </c>
      <c r="K24" s="9" t="n">
        <v>1795463.675</v>
      </c>
      <c r="L24" s="8" t="n">
        <v>212</v>
      </c>
      <c r="M24" s="8" t="n">
        <v>3831</v>
      </c>
      <c r="N24" s="10" t="n">
        <v>27.24</v>
      </c>
    </row>
    <row r="25" customFormat="false" ht="15" hidden="false" customHeight="false" outlineLevel="0" collapsed="false">
      <c r="A25" s="8" t="s">
        <v>60</v>
      </c>
      <c r="B25" s="8" t="s">
        <v>61</v>
      </c>
      <c r="C25" s="8" t="s">
        <v>34</v>
      </c>
      <c r="D25" s="8" t="s">
        <v>62</v>
      </c>
      <c r="E25" s="8" t="n">
        <v>2020</v>
      </c>
      <c r="F25" s="8" t="s">
        <v>42</v>
      </c>
      <c r="G25" s="8" t="s">
        <v>43</v>
      </c>
      <c r="H25" s="9" t="n">
        <v>6207125.08</v>
      </c>
      <c r="I25" s="9" t="n">
        <v>4233239.5</v>
      </c>
      <c r="J25" s="9" t="n">
        <v>282278.31</v>
      </c>
      <c r="K25" s="9" t="n">
        <v>1691607.27</v>
      </c>
      <c r="L25" s="8" t="n">
        <v>210</v>
      </c>
      <c r="M25" s="8" t="n">
        <v>3650</v>
      </c>
      <c r="N25" s="10" t="n">
        <v>27.25</v>
      </c>
    </row>
    <row r="26" customFormat="false" ht="15" hidden="false" customHeight="false" outlineLevel="0" collapsed="false">
      <c r="A26" s="8" t="s">
        <v>60</v>
      </c>
      <c r="B26" s="8" t="s">
        <v>61</v>
      </c>
      <c r="C26" s="8" t="s">
        <v>34</v>
      </c>
      <c r="D26" s="8" t="s">
        <v>62</v>
      </c>
      <c r="E26" s="8" t="n">
        <v>2021</v>
      </c>
      <c r="F26" s="8" t="s">
        <v>36</v>
      </c>
      <c r="G26" s="8" t="s">
        <v>44</v>
      </c>
      <c r="H26" s="9" t="n">
        <v>6929455.43</v>
      </c>
      <c r="I26" s="9" t="n">
        <v>4197685.81</v>
      </c>
      <c r="J26" s="9" t="n">
        <v>286341.91</v>
      </c>
      <c r="K26" s="9" t="n">
        <v>2445427.71</v>
      </c>
      <c r="L26" s="8" t="n">
        <v>212</v>
      </c>
      <c r="M26" s="8" t="n">
        <v>3071</v>
      </c>
      <c r="N26" s="10" t="n">
        <v>35.29</v>
      </c>
    </row>
    <row r="27" customFormat="false" ht="15" hidden="false" customHeight="false" outlineLevel="0" collapsed="false">
      <c r="A27" s="8" t="s">
        <v>60</v>
      </c>
      <c r="B27" s="8" t="s">
        <v>61</v>
      </c>
      <c r="C27" s="8" t="s">
        <v>34</v>
      </c>
      <c r="D27" s="8" t="s">
        <v>62</v>
      </c>
      <c r="E27" s="8" t="n">
        <v>2021</v>
      </c>
      <c r="F27" s="8" t="s">
        <v>38</v>
      </c>
      <c r="G27" s="8" t="s">
        <v>45</v>
      </c>
      <c r="H27" s="9" t="n">
        <v>7377447.4</v>
      </c>
      <c r="I27" s="9" t="n">
        <v>5004907.01</v>
      </c>
      <c r="J27" s="9" t="n">
        <v>566532.87</v>
      </c>
      <c r="K27" s="9" t="n">
        <v>1806007.52</v>
      </c>
      <c r="L27" s="8" t="n">
        <v>214</v>
      </c>
      <c r="M27" s="8" t="n">
        <v>9045</v>
      </c>
      <c r="N27" s="10" t="n">
        <v>24.48</v>
      </c>
    </row>
    <row r="28" customFormat="false" ht="15" hidden="false" customHeight="false" outlineLevel="0" collapsed="false">
      <c r="A28" s="8" t="s">
        <v>60</v>
      </c>
      <c r="B28" s="8" t="s">
        <v>61</v>
      </c>
      <c r="C28" s="8" t="s">
        <v>34</v>
      </c>
      <c r="D28" s="8" t="s">
        <v>62</v>
      </c>
      <c r="E28" s="8" t="n">
        <v>2021</v>
      </c>
      <c r="F28" s="8" t="s">
        <v>40</v>
      </c>
      <c r="G28" s="8" t="s">
        <v>46</v>
      </c>
      <c r="H28" s="9" t="n">
        <v>6416149.09</v>
      </c>
      <c r="I28" s="9" t="n">
        <v>4104313.23</v>
      </c>
      <c r="J28" s="9" t="n">
        <v>379430.69</v>
      </c>
      <c r="K28" s="9" t="n">
        <v>1932405.17</v>
      </c>
      <c r="L28" s="8" t="n">
        <v>217</v>
      </c>
      <c r="M28" s="8" t="n">
        <v>5811</v>
      </c>
      <c r="N28" s="10" t="n">
        <v>30.12</v>
      </c>
    </row>
    <row r="29" customFormat="false" ht="15" hidden="false" customHeight="false" outlineLevel="0" collapsed="false">
      <c r="A29" s="8" t="s">
        <v>60</v>
      </c>
      <c r="B29" s="8" t="s">
        <v>61</v>
      </c>
      <c r="C29" s="8" t="s">
        <v>34</v>
      </c>
      <c r="D29" s="8" t="s">
        <v>62</v>
      </c>
      <c r="E29" s="8" t="n">
        <v>2021</v>
      </c>
      <c r="F29" s="8" t="s">
        <v>42</v>
      </c>
      <c r="G29" s="8" t="s">
        <v>47</v>
      </c>
      <c r="H29" s="9" t="n">
        <v>6158268.69</v>
      </c>
      <c r="I29" s="9" t="n">
        <v>3766472.01</v>
      </c>
      <c r="J29" s="9" t="n">
        <v>451132.57</v>
      </c>
      <c r="K29" s="9" t="n">
        <v>1940664.11</v>
      </c>
      <c r="L29" s="8" t="n">
        <v>219</v>
      </c>
      <c r="M29" s="8" t="n">
        <v>3272</v>
      </c>
      <c r="N29" s="10" t="n">
        <v>31.51</v>
      </c>
    </row>
    <row r="30" customFormat="false" ht="15" hidden="false" customHeight="false" outlineLevel="0" collapsed="false">
      <c r="A30" s="8" t="s">
        <v>60</v>
      </c>
      <c r="B30" s="8" t="s">
        <v>61</v>
      </c>
      <c r="C30" s="8" t="s">
        <v>34</v>
      </c>
      <c r="D30" s="8" t="s">
        <v>62</v>
      </c>
      <c r="E30" s="8" t="n">
        <v>2022</v>
      </c>
      <c r="F30" s="8" t="s">
        <v>36</v>
      </c>
      <c r="G30" s="8" t="s">
        <v>48</v>
      </c>
      <c r="H30" s="9" t="n">
        <v>7204549.18</v>
      </c>
      <c r="I30" s="9" t="n">
        <v>5107753.48</v>
      </c>
      <c r="J30" s="9" t="n">
        <v>488960.63</v>
      </c>
      <c r="K30" s="9" t="n">
        <v>1607835.07</v>
      </c>
      <c r="L30" s="8" t="n">
        <v>220</v>
      </c>
      <c r="M30" s="8" t="n">
        <v>4400</v>
      </c>
      <c r="N30" s="10" t="n">
        <v>22.32</v>
      </c>
    </row>
    <row r="31" customFormat="false" ht="15" hidden="false" customHeight="false" outlineLevel="0" collapsed="false">
      <c r="A31" s="8" t="s">
        <v>60</v>
      </c>
      <c r="B31" s="8" t="s">
        <v>61</v>
      </c>
      <c r="C31" s="8" t="s">
        <v>34</v>
      </c>
      <c r="D31" s="8" t="s">
        <v>62</v>
      </c>
      <c r="E31" s="8" t="n">
        <v>2022</v>
      </c>
      <c r="F31" s="8" t="s">
        <v>38</v>
      </c>
      <c r="G31" s="8" t="s">
        <v>49</v>
      </c>
      <c r="H31" s="9" t="n">
        <v>7572643.73</v>
      </c>
      <c r="I31" s="9" t="n">
        <v>4920996.77</v>
      </c>
      <c r="J31" s="9" t="n">
        <v>331765.97</v>
      </c>
      <c r="K31" s="9" t="n">
        <v>2319880.99</v>
      </c>
      <c r="L31" s="8" t="n">
        <v>220</v>
      </c>
      <c r="M31" s="8" t="n">
        <v>8663</v>
      </c>
      <c r="N31" s="10" t="n">
        <v>30.64</v>
      </c>
    </row>
    <row r="32" customFormat="false" ht="15" hidden="false" customHeight="false" outlineLevel="0" collapsed="false">
      <c r="A32" s="8" t="s">
        <v>60</v>
      </c>
      <c r="B32" s="8" t="s">
        <v>61</v>
      </c>
      <c r="C32" s="8" t="s">
        <v>34</v>
      </c>
      <c r="D32" s="8" t="s">
        <v>62</v>
      </c>
      <c r="E32" s="8" t="n">
        <v>2022</v>
      </c>
      <c r="F32" s="8" t="s">
        <v>40</v>
      </c>
      <c r="G32" s="8" t="s">
        <v>50</v>
      </c>
      <c r="H32" s="9" t="n">
        <v>6978646.93</v>
      </c>
      <c r="I32" s="9" t="n">
        <v>5133937.31</v>
      </c>
      <c r="J32" s="9" t="n">
        <v>215831.38</v>
      </c>
      <c r="K32" s="9" t="n">
        <v>1628878.24</v>
      </c>
      <c r="L32" s="8" t="n">
        <v>217</v>
      </c>
      <c r="M32" s="8" t="n">
        <v>2862</v>
      </c>
      <c r="N32" s="10" t="n">
        <v>23.34</v>
      </c>
    </row>
    <row r="33" customFormat="false" ht="15" hidden="false" customHeight="false" outlineLevel="0" collapsed="false">
      <c r="A33" s="8" t="s">
        <v>60</v>
      </c>
      <c r="B33" s="8" t="s">
        <v>61</v>
      </c>
      <c r="C33" s="8" t="s">
        <v>34</v>
      </c>
      <c r="D33" s="8" t="s">
        <v>62</v>
      </c>
      <c r="E33" s="8" t="n">
        <v>2022</v>
      </c>
      <c r="F33" s="8" t="s">
        <v>42</v>
      </c>
      <c r="G33" s="8" t="s">
        <v>51</v>
      </c>
      <c r="H33" s="9" t="n">
        <v>6542036.87</v>
      </c>
      <c r="I33" s="9" t="n">
        <v>3998096.51</v>
      </c>
      <c r="J33" s="9" t="n">
        <v>225836.19</v>
      </c>
      <c r="K33" s="9" t="n">
        <v>2318104.17</v>
      </c>
      <c r="L33" s="8" t="n">
        <v>215</v>
      </c>
      <c r="M33" s="8" t="n">
        <v>4025</v>
      </c>
      <c r="N33" s="10" t="n">
        <v>35.43</v>
      </c>
    </row>
    <row r="34" customFormat="false" ht="15" hidden="false" customHeight="false" outlineLevel="0" collapsed="false">
      <c r="A34" s="8" t="s">
        <v>60</v>
      </c>
      <c r="B34" s="8" t="s">
        <v>61</v>
      </c>
      <c r="C34" s="8" t="s">
        <v>34</v>
      </c>
      <c r="D34" s="8" t="s">
        <v>62</v>
      </c>
      <c r="E34" s="8" t="n">
        <v>2023</v>
      </c>
      <c r="F34" s="8" t="s">
        <v>36</v>
      </c>
      <c r="G34" s="8" t="s">
        <v>52</v>
      </c>
      <c r="H34" s="9" t="n">
        <v>7473437.98</v>
      </c>
      <c r="I34" s="9" t="n">
        <v>4962454.25</v>
      </c>
      <c r="J34" s="9" t="n">
        <v>536307.27</v>
      </c>
      <c r="K34" s="9" t="n">
        <v>1974676.46</v>
      </c>
      <c r="L34" s="8" t="n">
        <v>213</v>
      </c>
      <c r="M34" s="8" t="n">
        <v>3009</v>
      </c>
      <c r="N34" s="10" t="n">
        <v>26.42</v>
      </c>
    </row>
    <row r="35" customFormat="false" ht="15" hidden="false" customHeight="false" outlineLevel="0" collapsed="false">
      <c r="A35" s="8" t="s">
        <v>60</v>
      </c>
      <c r="B35" s="8" t="s">
        <v>61</v>
      </c>
      <c r="C35" s="8" t="s">
        <v>34</v>
      </c>
      <c r="D35" s="8" t="s">
        <v>62</v>
      </c>
      <c r="E35" s="8" t="n">
        <v>2023</v>
      </c>
      <c r="F35" s="8" t="s">
        <v>38</v>
      </c>
      <c r="G35" s="8" t="s">
        <v>53</v>
      </c>
      <c r="H35" s="9" t="n">
        <v>7563440.05</v>
      </c>
      <c r="I35" s="9" t="n">
        <v>4606574.56</v>
      </c>
      <c r="J35" s="9" t="n">
        <v>342244.29</v>
      </c>
      <c r="K35" s="9" t="n">
        <v>2614621.2</v>
      </c>
      <c r="L35" s="8" t="n">
        <v>215</v>
      </c>
      <c r="M35" s="8" t="n">
        <v>7327</v>
      </c>
      <c r="N35" s="10" t="n">
        <v>34.57</v>
      </c>
    </row>
    <row r="36" customFormat="false" ht="15" hidden="false" customHeight="false" outlineLevel="0" collapsed="false">
      <c r="A36" s="8" t="s">
        <v>60</v>
      </c>
      <c r="B36" s="8" t="s">
        <v>61</v>
      </c>
      <c r="C36" s="8" t="s">
        <v>34</v>
      </c>
      <c r="D36" s="8" t="s">
        <v>62</v>
      </c>
      <c r="E36" s="8" t="n">
        <v>2023</v>
      </c>
      <c r="F36" s="8" t="s">
        <v>40</v>
      </c>
      <c r="G36" s="8" t="s">
        <v>54</v>
      </c>
      <c r="H36" s="9" t="n">
        <v>6872094.89</v>
      </c>
      <c r="I36" s="9" t="n">
        <v>4893087.41</v>
      </c>
      <c r="J36" s="9" t="n">
        <v>539883.25</v>
      </c>
      <c r="K36" s="9" t="n">
        <v>1439124.23</v>
      </c>
      <c r="L36" s="8" t="n">
        <v>212</v>
      </c>
      <c r="M36" s="8" t="n">
        <v>3185</v>
      </c>
      <c r="N36" s="10" t="n">
        <v>20.94</v>
      </c>
    </row>
    <row r="37" customFormat="false" ht="15" hidden="false" customHeight="false" outlineLevel="0" collapsed="false">
      <c r="A37" s="8" t="s">
        <v>60</v>
      </c>
      <c r="B37" s="8" t="s">
        <v>61</v>
      </c>
      <c r="C37" s="8" t="s">
        <v>34</v>
      </c>
      <c r="D37" s="8" t="s">
        <v>62</v>
      </c>
      <c r="E37" s="8" t="n">
        <v>2023</v>
      </c>
      <c r="F37" s="8" t="s">
        <v>42</v>
      </c>
      <c r="G37" s="8" t="s">
        <v>55</v>
      </c>
      <c r="H37" s="9" t="n">
        <v>8189164.51</v>
      </c>
      <c r="I37" s="9" t="n">
        <v>5153906.09</v>
      </c>
      <c r="J37" s="9" t="n">
        <v>280531.75</v>
      </c>
      <c r="K37" s="9" t="n">
        <v>2754726.67</v>
      </c>
      <c r="L37" s="8" t="n">
        <v>215</v>
      </c>
      <c r="M37" s="8" t="n">
        <v>5299</v>
      </c>
      <c r="N37" s="10" t="n">
        <v>33.64</v>
      </c>
    </row>
    <row r="38" customFormat="false" ht="15" hidden="false" customHeight="false" outlineLevel="0" collapsed="false">
      <c r="A38" s="8" t="s">
        <v>60</v>
      </c>
      <c r="B38" s="8" t="s">
        <v>61</v>
      </c>
      <c r="C38" s="8" t="s">
        <v>34</v>
      </c>
      <c r="D38" s="8" t="s">
        <v>62</v>
      </c>
      <c r="E38" s="8" t="n">
        <v>2024</v>
      </c>
      <c r="F38" s="8" t="s">
        <v>36</v>
      </c>
      <c r="G38" s="8" t="s">
        <v>56</v>
      </c>
      <c r="H38" s="9" t="n">
        <v>7532525.97</v>
      </c>
      <c r="I38" s="9" t="n">
        <v>4574565.17</v>
      </c>
      <c r="J38" s="9" t="n">
        <v>471224.87</v>
      </c>
      <c r="K38" s="9" t="n">
        <v>2486735.93</v>
      </c>
      <c r="L38" s="8" t="n">
        <v>217</v>
      </c>
      <c r="M38" s="8" t="n">
        <v>8723</v>
      </c>
      <c r="N38" s="10" t="n">
        <v>33.01</v>
      </c>
    </row>
    <row r="39" customFormat="false" ht="15" hidden="false" customHeight="false" outlineLevel="0" collapsed="false">
      <c r="A39" s="8" t="s">
        <v>60</v>
      </c>
      <c r="B39" s="8" t="s">
        <v>61</v>
      </c>
      <c r="C39" s="8" t="s">
        <v>34</v>
      </c>
      <c r="D39" s="8" t="s">
        <v>62</v>
      </c>
      <c r="E39" s="8" t="n">
        <v>2024</v>
      </c>
      <c r="F39" s="8" t="s">
        <v>38</v>
      </c>
      <c r="G39" s="8" t="s">
        <v>57</v>
      </c>
      <c r="H39" s="9" t="n">
        <v>8276038.07</v>
      </c>
      <c r="I39" s="9" t="n">
        <v>5440803.86</v>
      </c>
      <c r="J39" s="9" t="n">
        <v>398871.36</v>
      </c>
      <c r="K39" s="9" t="n">
        <v>2436362.85</v>
      </c>
      <c r="L39" s="8" t="n">
        <v>217</v>
      </c>
      <c r="M39" s="8" t="n">
        <v>6559</v>
      </c>
      <c r="N39" s="10" t="n">
        <v>29.44</v>
      </c>
    </row>
    <row r="40" customFormat="false" ht="15" hidden="false" customHeight="false" outlineLevel="0" collapsed="false">
      <c r="A40" s="8" t="s">
        <v>60</v>
      </c>
      <c r="B40" s="8" t="s">
        <v>61</v>
      </c>
      <c r="C40" s="8" t="s">
        <v>34</v>
      </c>
      <c r="D40" s="8" t="s">
        <v>62</v>
      </c>
      <c r="E40" s="8" t="n">
        <v>2024</v>
      </c>
      <c r="F40" s="8" t="s">
        <v>40</v>
      </c>
      <c r="G40" s="8" t="s">
        <v>58</v>
      </c>
      <c r="H40" s="9" t="n">
        <v>7436399.36</v>
      </c>
      <c r="I40" s="9" t="n">
        <v>4880292.69</v>
      </c>
      <c r="J40" s="9" t="n">
        <v>246151.54</v>
      </c>
      <c r="K40" s="9" t="n">
        <v>2309955.13</v>
      </c>
      <c r="L40" s="8" t="n">
        <v>218</v>
      </c>
      <c r="M40" s="8" t="n">
        <v>3655</v>
      </c>
      <c r="N40" s="10" t="n">
        <v>31.06</v>
      </c>
    </row>
    <row r="41" customFormat="false" ht="15" hidden="false" customHeight="false" outlineLevel="0" collapsed="false">
      <c r="A41" s="8" t="s">
        <v>60</v>
      </c>
      <c r="B41" s="8" t="s">
        <v>61</v>
      </c>
      <c r="C41" s="8" t="s">
        <v>34</v>
      </c>
      <c r="D41" s="8" t="s">
        <v>62</v>
      </c>
      <c r="E41" s="8" t="n">
        <v>2024</v>
      </c>
      <c r="F41" s="8" t="s">
        <v>42</v>
      </c>
      <c r="G41" s="8" t="s">
        <v>59</v>
      </c>
      <c r="H41" s="9" t="n">
        <v>7408279.12</v>
      </c>
      <c r="I41" s="9" t="n">
        <v>5133337.51</v>
      </c>
      <c r="J41" s="9" t="n">
        <v>653204.36</v>
      </c>
      <c r="K41" s="9" t="n">
        <v>1621737.25</v>
      </c>
      <c r="L41" s="8" t="n">
        <v>216</v>
      </c>
      <c r="M41" s="8" t="n">
        <v>4820</v>
      </c>
      <c r="N41" s="10" t="n">
        <v>21.89</v>
      </c>
    </row>
    <row r="42" customFormat="false" ht="15" hidden="false" customHeight="false" outlineLevel="0" collapsed="false">
      <c r="A42" s="8" t="s">
        <v>63</v>
      </c>
      <c r="B42" s="8" t="s">
        <v>64</v>
      </c>
      <c r="C42" s="8" t="s">
        <v>34</v>
      </c>
      <c r="D42" s="8" t="s">
        <v>65</v>
      </c>
      <c r="E42" s="8" t="n">
        <v>2020</v>
      </c>
      <c r="F42" s="8" t="s">
        <v>36</v>
      </c>
      <c r="G42" s="8" t="s">
        <v>37</v>
      </c>
      <c r="H42" s="9" t="n">
        <v>2899605.31</v>
      </c>
      <c r="I42" s="9" t="n">
        <v>1685504.06</v>
      </c>
      <c r="J42" s="9" t="n">
        <v>117137.27</v>
      </c>
      <c r="K42" s="9" t="n">
        <v>1096963.98</v>
      </c>
      <c r="L42" s="8" t="n">
        <v>42</v>
      </c>
      <c r="M42" s="8" t="n">
        <v>1439</v>
      </c>
      <c r="N42" s="10" t="n">
        <v>37.83</v>
      </c>
    </row>
    <row r="43" customFormat="false" ht="15" hidden="false" customHeight="false" outlineLevel="0" collapsed="false">
      <c r="A43" s="8" t="s">
        <v>63</v>
      </c>
      <c r="B43" s="8" t="s">
        <v>64</v>
      </c>
      <c r="C43" s="8" t="s">
        <v>34</v>
      </c>
      <c r="D43" s="8" t="s">
        <v>65</v>
      </c>
      <c r="E43" s="8" t="n">
        <v>2020</v>
      </c>
      <c r="F43" s="8" t="s">
        <v>38</v>
      </c>
      <c r="G43" s="8" t="s">
        <v>39</v>
      </c>
      <c r="H43" s="9" t="n">
        <v>3028392.09</v>
      </c>
      <c r="I43" s="9" t="n">
        <v>2243956.95</v>
      </c>
      <c r="J43" s="9" t="n">
        <v>141716.74</v>
      </c>
      <c r="K43" s="9" t="n">
        <v>642718.4</v>
      </c>
      <c r="L43" s="8" t="n">
        <v>45</v>
      </c>
      <c r="M43" s="8" t="n">
        <v>1645</v>
      </c>
      <c r="N43" s="10" t="n">
        <v>21.22</v>
      </c>
    </row>
    <row r="44" customFormat="false" ht="15" hidden="false" customHeight="false" outlineLevel="0" collapsed="false">
      <c r="A44" s="8" t="s">
        <v>63</v>
      </c>
      <c r="B44" s="8" t="s">
        <v>64</v>
      </c>
      <c r="C44" s="8" t="s">
        <v>34</v>
      </c>
      <c r="D44" s="8" t="s">
        <v>65</v>
      </c>
      <c r="E44" s="8" t="n">
        <v>2020</v>
      </c>
      <c r="F44" s="8" t="s">
        <v>40</v>
      </c>
      <c r="G44" s="8" t="s">
        <v>41</v>
      </c>
      <c r="H44" s="9" t="n">
        <v>3097586.54</v>
      </c>
      <c r="I44" s="9" t="n">
        <v>1778116.68</v>
      </c>
      <c r="J44" s="9" t="n">
        <v>122412.86</v>
      </c>
      <c r="K44" s="9" t="n">
        <v>1197057</v>
      </c>
      <c r="L44" s="8" t="n">
        <v>47</v>
      </c>
      <c r="M44" s="8" t="n">
        <v>3226</v>
      </c>
      <c r="N44" s="10" t="n">
        <v>38.64</v>
      </c>
    </row>
    <row r="45" customFormat="false" ht="15" hidden="false" customHeight="false" outlineLevel="0" collapsed="false">
      <c r="A45" s="8" t="s">
        <v>63</v>
      </c>
      <c r="B45" s="8" t="s">
        <v>64</v>
      </c>
      <c r="C45" s="8" t="s">
        <v>34</v>
      </c>
      <c r="D45" s="8" t="s">
        <v>65</v>
      </c>
      <c r="E45" s="8" t="n">
        <v>2020</v>
      </c>
      <c r="F45" s="8" t="s">
        <v>42</v>
      </c>
      <c r="G45" s="8" t="s">
        <v>43</v>
      </c>
      <c r="H45" s="9" t="n">
        <v>2831628.85</v>
      </c>
      <c r="I45" s="9" t="n">
        <v>1955895.45</v>
      </c>
      <c r="J45" s="9" t="n">
        <v>230289.68</v>
      </c>
      <c r="K45" s="9" t="n">
        <v>645443.72</v>
      </c>
      <c r="L45" s="8" t="n">
        <v>50</v>
      </c>
      <c r="M45" s="8" t="n">
        <v>1731</v>
      </c>
      <c r="N45" s="10" t="n">
        <v>22.79</v>
      </c>
    </row>
    <row r="46" customFormat="false" ht="15" hidden="false" customHeight="false" outlineLevel="0" collapsed="false">
      <c r="A46" s="8" t="s">
        <v>63</v>
      </c>
      <c r="B46" s="8" t="s">
        <v>64</v>
      </c>
      <c r="C46" s="8" t="s">
        <v>34</v>
      </c>
      <c r="D46" s="8" t="s">
        <v>65</v>
      </c>
      <c r="E46" s="8" t="n">
        <v>2021</v>
      </c>
      <c r="F46" s="8" t="s">
        <v>36</v>
      </c>
      <c r="G46" s="8" t="s">
        <v>44</v>
      </c>
      <c r="H46" s="9" t="n">
        <v>3078129.37</v>
      </c>
      <c r="I46" s="9" t="n">
        <v>1722557.47</v>
      </c>
      <c r="J46" s="9" t="n">
        <v>212349.13</v>
      </c>
      <c r="K46" s="9" t="n">
        <v>1143222.77</v>
      </c>
      <c r="L46" s="8" t="n">
        <v>51</v>
      </c>
      <c r="M46" s="8" t="n">
        <v>1792</v>
      </c>
      <c r="N46" s="10" t="n">
        <v>37.14</v>
      </c>
    </row>
    <row r="47" customFormat="false" ht="15" hidden="false" customHeight="false" outlineLevel="0" collapsed="false">
      <c r="A47" s="8" t="s">
        <v>63</v>
      </c>
      <c r="B47" s="8" t="s">
        <v>64</v>
      </c>
      <c r="C47" s="8" t="s">
        <v>34</v>
      </c>
      <c r="D47" s="8" t="s">
        <v>65</v>
      </c>
      <c r="E47" s="8" t="n">
        <v>2021</v>
      </c>
      <c r="F47" s="8" t="s">
        <v>38</v>
      </c>
      <c r="G47" s="8" t="s">
        <v>45</v>
      </c>
      <c r="H47" s="9" t="n">
        <v>3574863.17</v>
      </c>
      <c r="I47" s="9" t="n">
        <v>2016629.47</v>
      </c>
      <c r="J47" s="9" t="n">
        <v>142193.99</v>
      </c>
      <c r="K47" s="9" t="n">
        <v>1416039.71</v>
      </c>
      <c r="L47" s="8" t="n">
        <v>50</v>
      </c>
      <c r="M47" s="8" t="n">
        <v>1990</v>
      </c>
      <c r="N47" s="10" t="n">
        <v>39.61</v>
      </c>
    </row>
    <row r="48" customFormat="false" ht="15" hidden="false" customHeight="false" outlineLevel="0" collapsed="false">
      <c r="A48" s="8" t="s">
        <v>63</v>
      </c>
      <c r="B48" s="8" t="s">
        <v>64</v>
      </c>
      <c r="C48" s="8" t="s">
        <v>34</v>
      </c>
      <c r="D48" s="8" t="s">
        <v>65</v>
      </c>
      <c r="E48" s="8" t="n">
        <v>2021</v>
      </c>
      <c r="F48" s="8" t="s">
        <v>40</v>
      </c>
      <c r="G48" s="8" t="s">
        <v>46</v>
      </c>
      <c r="H48" s="9" t="n">
        <v>3323413.18</v>
      </c>
      <c r="I48" s="9" t="n">
        <v>1913289.2</v>
      </c>
      <c r="J48" s="9" t="n">
        <v>214034.53</v>
      </c>
      <c r="K48" s="9" t="n">
        <v>1196089.45</v>
      </c>
      <c r="L48" s="8" t="n">
        <v>47</v>
      </c>
      <c r="M48" s="8" t="n">
        <v>1782</v>
      </c>
      <c r="N48" s="10" t="n">
        <v>35.99</v>
      </c>
    </row>
    <row r="49" customFormat="false" ht="15" hidden="false" customHeight="false" outlineLevel="0" collapsed="false">
      <c r="A49" s="8" t="s">
        <v>63</v>
      </c>
      <c r="B49" s="8" t="s">
        <v>64</v>
      </c>
      <c r="C49" s="8" t="s">
        <v>34</v>
      </c>
      <c r="D49" s="8" t="s">
        <v>65</v>
      </c>
      <c r="E49" s="8" t="n">
        <v>2021</v>
      </c>
      <c r="F49" s="8" t="s">
        <v>42</v>
      </c>
      <c r="G49" s="8" t="s">
        <v>47</v>
      </c>
      <c r="H49" s="9" t="n">
        <v>3070815.04</v>
      </c>
      <c r="I49" s="9" t="n">
        <v>2244981.15</v>
      </c>
      <c r="J49" s="9" t="n">
        <v>269222.76</v>
      </c>
      <c r="K49" s="9" t="n">
        <v>556611.13</v>
      </c>
      <c r="L49" s="8" t="n">
        <v>48</v>
      </c>
      <c r="M49" s="8" t="n">
        <v>3334</v>
      </c>
      <c r="N49" s="10" t="n">
        <v>18.13</v>
      </c>
    </row>
    <row r="50" customFormat="false" ht="15" hidden="false" customHeight="false" outlineLevel="0" collapsed="false">
      <c r="A50" s="8" t="s">
        <v>63</v>
      </c>
      <c r="B50" s="8" t="s">
        <v>64</v>
      </c>
      <c r="C50" s="8" t="s">
        <v>34</v>
      </c>
      <c r="D50" s="8" t="s">
        <v>65</v>
      </c>
      <c r="E50" s="8" t="n">
        <v>2022</v>
      </c>
      <c r="F50" s="8" t="s">
        <v>36</v>
      </c>
      <c r="G50" s="8" t="s">
        <v>48</v>
      </c>
      <c r="H50" s="9" t="n">
        <v>3201169.81</v>
      </c>
      <c r="I50" s="9" t="n">
        <v>2206718.19</v>
      </c>
      <c r="J50" s="9" t="n">
        <v>118731.04</v>
      </c>
      <c r="K50" s="9" t="n">
        <v>875720.58</v>
      </c>
      <c r="L50" s="8" t="n">
        <v>49</v>
      </c>
      <c r="M50" s="8" t="n">
        <v>1561</v>
      </c>
      <c r="N50" s="10" t="n">
        <v>27.36</v>
      </c>
    </row>
    <row r="51" customFormat="false" ht="15" hidden="false" customHeight="false" outlineLevel="0" collapsed="false">
      <c r="A51" s="8" t="s">
        <v>63</v>
      </c>
      <c r="B51" s="8" t="s">
        <v>64</v>
      </c>
      <c r="C51" s="8" t="s">
        <v>34</v>
      </c>
      <c r="D51" s="8" t="s">
        <v>65</v>
      </c>
      <c r="E51" s="8" t="n">
        <v>2022</v>
      </c>
      <c r="F51" s="8" t="s">
        <v>38</v>
      </c>
      <c r="G51" s="8" t="s">
        <v>49</v>
      </c>
      <c r="H51" s="9" t="n">
        <v>3657660.81</v>
      </c>
      <c r="I51" s="9" t="n">
        <v>2412572.5</v>
      </c>
      <c r="J51" s="9" t="n">
        <v>322074.71</v>
      </c>
      <c r="K51" s="9" t="n">
        <v>923013.6</v>
      </c>
      <c r="L51" s="8" t="n">
        <v>48</v>
      </c>
      <c r="M51" s="8" t="n">
        <v>2055</v>
      </c>
      <c r="N51" s="10" t="n">
        <v>25.24</v>
      </c>
    </row>
    <row r="52" customFormat="false" ht="15" hidden="false" customHeight="false" outlineLevel="0" collapsed="false">
      <c r="A52" s="8" t="s">
        <v>63</v>
      </c>
      <c r="B52" s="8" t="s">
        <v>64</v>
      </c>
      <c r="C52" s="8" t="s">
        <v>34</v>
      </c>
      <c r="D52" s="8" t="s">
        <v>65</v>
      </c>
      <c r="E52" s="8" t="n">
        <v>2022</v>
      </c>
      <c r="F52" s="8" t="s">
        <v>40</v>
      </c>
      <c r="G52" s="8" t="s">
        <v>50</v>
      </c>
      <c r="H52" s="9" t="n">
        <v>3071506.98</v>
      </c>
      <c r="I52" s="9" t="n">
        <v>1898684.93</v>
      </c>
      <c r="J52" s="9" t="n">
        <v>235230.68</v>
      </c>
      <c r="K52" s="9" t="n">
        <v>937591.37</v>
      </c>
      <c r="L52" s="8" t="n">
        <v>45</v>
      </c>
      <c r="M52" s="8" t="n">
        <v>1474</v>
      </c>
      <c r="N52" s="10" t="n">
        <v>30.53</v>
      </c>
    </row>
    <row r="53" customFormat="false" ht="15" hidden="false" customHeight="false" outlineLevel="0" collapsed="false">
      <c r="A53" s="8" t="s">
        <v>63</v>
      </c>
      <c r="B53" s="8" t="s">
        <v>64</v>
      </c>
      <c r="C53" s="8" t="s">
        <v>34</v>
      </c>
      <c r="D53" s="8" t="s">
        <v>65</v>
      </c>
      <c r="E53" s="8" t="n">
        <v>2022</v>
      </c>
      <c r="F53" s="8" t="s">
        <v>42</v>
      </c>
      <c r="G53" s="8" t="s">
        <v>51</v>
      </c>
      <c r="H53" s="9" t="n">
        <v>3069106.44</v>
      </c>
      <c r="I53" s="9" t="n">
        <v>2015990.12</v>
      </c>
      <c r="J53" s="9" t="n">
        <v>161630.6</v>
      </c>
      <c r="K53" s="9" t="n">
        <v>891485.72</v>
      </c>
      <c r="L53" s="8" t="n">
        <v>44</v>
      </c>
      <c r="M53" s="8" t="n">
        <v>2350</v>
      </c>
      <c r="N53" s="10" t="n">
        <v>29.05</v>
      </c>
    </row>
    <row r="54" customFormat="false" ht="15" hidden="false" customHeight="false" outlineLevel="0" collapsed="false">
      <c r="A54" s="8" t="s">
        <v>63</v>
      </c>
      <c r="B54" s="8" t="s">
        <v>64</v>
      </c>
      <c r="C54" s="8" t="s">
        <v>34</v>
      </c>
      <c r="D54" s="8" t="s">
        <v>65</v>
      </c>
      <c r="E54" s="8" t="n">
        <v>2023</v>
      </c>
      <c r="F54" s="8" t="s">
        <v>36</v>
      </c>
      <c r="G54" s="8" t="s">
        <v>52</v>
      </c>
      <c r="H54" s="9" t="n">
        <v>3505224.54</v>
      </c>
      <c r="I54" s="9" t="n">
        <v>2329879.21</v>
      </c>
      <c r="J54" s="9" t="n">
        <v>305082.23</v>
      </c>
      <c r="K54" s="9" t="n">
        <v>870263.1</v>
      </c>
      <c r="L54" s="8" t="n">
        <v>41</v>
      </c>
      <c r="M54" s="8" t="n">
        <v>2699</v>
      </c>
      <c r="N54" s="10" t="n">
        <v>24.83</v>
      </c>
    </row>
    <row r="55" customFormat="false" ht="15" hidden="false" customHeight="false" outlineLevel="0" collapsed="false">
      <c r="A55" s="8" t="s">
        <v>63</v>
      </c>
      <c r="B55" s="8" t="s">
        <v>64</v>
      </c>
      <c r="C55" s="8" t="s">
        <v>34</v>
      </c>
      <c r="D55" s="8" t="s">
        <v>65</v>
      </c>
      <c r="E55" s="8" t="n">
        <v>2023</v>
      </c>
      <c r="F55" s="8" t="s">
        <v>38</v>
      </c>
      <c r="G55" s="8" t="s">
        <v>53</v>
      </c>
      <c r="H55" s="9" t="n">
        <v>4161290.55</v>
      </c>
      <c r="I55" s="9" t="n">
        <v>2465754.32</v>
      </c>
      <c r="J55" s="9" t="n">
        <v>263085.87</v>
      </c>
      <c r="K55" s="9" t="n">
        <v>1432450.36</v>
      </c>
      <c r="L55" s="8" t="n">
        <v>38</v>
      </c>
      <c r="M55" s="8" t="n">
        <v>1700</v>
      </c>
      <c r="N55" s="10" t="n">
        <v>34.42</v>
      </c>
    </row>
    <row r="56" customFormat="false" ht="15" hidden="false" customHeight="false" outlineLevel="0" collapsed="false">
      <c r="A56" s="8" t="s">
        <v>63</v>
      </c>
      <c r="B56" s="8" t="s">
        <v>64</v>
      </c>
      <c r="C56" s="8" t="s">
        <v>34</v>
      </c>
      <c r="D56" s="8" t="s">
        <v>65</v>
      </c>
      <c r="E56" s="8" t="n">
        <v>2023</v>
      </c>
      <c r="F56" s="8" t="s">
        <v>40</v>
      </c>
      <c r="G56" s="8" t="s">
        <v>54</v>
      </c>
      <c r="H56" s="9" t="n">
        <v>3635625.17</v>
      </c>
      <c r="I56" s="9" t="n">
        <v>2060750.01</v>
      </c>
      <c r="J56" s="9" t="n">
        <v>131127.4</v>
      </c>
      <c r="K56" s="9" t="n">
        <v>1443747.76</v>
      </c>
      <c r="L56" s="8" t="n">
        <v>36</v>
      </c>
      <c r="M56" s="8" t="n">
        <v>1654</v>
      </c>
      <c r="N56" s="10" t="n">
        <v>39.71</v>
      </c>
    </row>
    <row r="57" customFormat="false" ht="15" hidden="false" customHeight="false" outlineLevel="0" collapsed="false">
      <c r="A57" s="8" t="s">
        <v>63</v>
      </c>
      <c r="B57" s="8" t="s">
        <v>64</v>
      </c>
      <c r="C57" s="8" t="s">
        <v>34</v>
      </c>
      <c r="D57" s="8" t="s">
        <v>65</v>
      </c>
      <c r="E57" s="8" t="n">
        <v>2023</v>
      </c>
      <c r="F57" s="8" t="s">
        <v>42</v>
      </c>
      <c r="G57" s="8" t="s">
        <v>55</v>
      </c>
      <c r="H57" s="9" t="n">
        <v>3315126.33</v>
      </c>
      <c r="I57" s="9" t="n">
        <v>2163667.7</v>
      </c>
      <c r="J57" s="9" t="n">
        <v>128614.6</v>
      </c>
      <c r="K57" s="9" t="n">
        <v>1022844.03</v>
      </c>
      <c r="L57" s="8" t="n">
        <v>38</v>
      </c>
      <c r="M57" s="8" t="n">
        <v>1462</v>
      </c>
      <c r="N57" s="10" t="n">
        <v>30.85</v>
      </c>
    </row>
    <row r="58" customFormat="false" ht="15" hidden="false" customHeight="false" outlineLevel="0" collapsed="false">
      <c r="A58" s="8" t="s">
        <v>63</v>
      </c>
      <c r="B58" s="8" t="s">
        <v>64</v>
      </c>
      <c r="C58" s="8" t="s">
        <v>34</v>
      </c>
      <c r="D58" s="8" t="s">
        <v>65</v>
      </c>
      <c r="E58" s="8" t="n">
        <v>2024</v>
      </c>
      <c r="F58" s="8" t="s">
        <v>36</v>
      </c>
      <c r="G58" s="8" t="s">
        <v>56</v>
      </c>
      <c r="H58" s="9" t="n">
        <v>3477597.49</v>
      </c>
      <c r="I58" s="9" t="n">
        <v>2301059.67</v>
      </c>
      <c r="J58" s="9" t="n">
        <v>266484.17</v>
      </c>
      <c r="K58" s="9" t="n">
        <v>910053.65</v>
      </c>
      <c r="L58" s="8" t="n">
        <v>37</v>
      </c>
      <c r="M58" s="8" t="n">
        <v>3516</v>
      </c>
      <c r="N58" s="10" t="n">
        <v>26.17</v>
      </c>
    </row>
    <row r="59" customFormat="false" ht="15" hidden="false" customHeight="false" outlineLevel="0" collapsed="false">
      <c r="A59" s="8" t="s">
        <v>63</v>
      </c>
      <c r="B59" s="8" t="s">
        <v>64</v>
      </c>
      <c r="C59" s="8" t="s">
        <v>34</v>
      </c>
      <c r="D59" s="8" t="s">
        <v>65</v>
      </c>
      <c r="E59" s="8" t="n">
        <v>2024</v>
      </c>
      <c r="F59" s="8" t="s">
        <v>38</v>
      </c>
      <c r="G59" s="8" t="s">
        <v>57</v>
      </c>
      <c r="H59" s="9" t="n">
        <v>3908071.9</v>
      </c>
      <c r="I59" s="9" t="n">
        <v>2466151.32</v>
      </c>
      <c r="J59" s="9" t="n">
        <v>176726.65</v>
      </c>
      <c r="K59" s="9" t="n">
        <v>1265193.93</v>
      </c>
      <c r="L59" s="8" t="n">
        <v>40</v>
      </c>
      <c r="M59" s="8" t="n">
        <v>1857</v>
      </c>
      <c r="N59" s="10" t="n">
        <v>32.37</v>
      </c>
    </row>
    <row r="60" customFormat="false" ht="15" hidden="false" customHeight="false" outlineLevel="0" collapsed="false">
      <c r="A60" s="8" t="s">
        <v>63</v>
      </c>
      <c r="B60" s="8" t="s">
        <v>64</v>
      </c>
      <c r="C60" s="8" t="s">
        <v>34</v>
      </c>
      <c r="D60" s="8" t="s">
        <v>65</v>
      </c>
      <c r="E60" s="8" t="n">
        <v>2024</v>
      </c>
      <c r="F60" s="8" t="s">
        <v>40</v>
      </c>
      <c r="G60" s="8" t="s">
        <v>58</v>
      </c>
      <c r="H60" s="9" t="n">
        <v>3923241.48</v>
      </c>
      <c r="I60" s="9" t="n">
        <v>2912749.86</v>
      </c>
      <c r="J60" s="9" t="n">
        <v>255019.04</v>
      </c>
      <c r="K60" s="9" t="n">
        <v>755472.58</v>
      </c>
      <c r="L60" s="8" t="n">
        <v>42</v>
      </c>
      <c r="M60" s="8" t="n">
        <v>1723</v>
      </c>
      <c r="N60" s="10" t="n">
        <v>19.26</v>
      </c>
    </row>
    <row r="61" customFormat="false" ht="15" hidden="false" customHeight="false" outlineLevel="0" collapsed="false">
      <c r="A61" s="8" t="s">
        <v>63</v>
      </c>
      <c r="B61" s="8" t="s">
        <v>64</v>
      </c>
      <c r="C61" s="8" t="s">
        <v>34</v>
      </c>
      <c r="D61" s="8" t="s">
        <v>65</v>
      </c>
      <c r="E61" s="8" t="n">
        <v>2024</v>
      </c>
      <c r="F61" s="8" t="s">
        <v>42</v>
      </c>
      <c r="G61" s="8" t="s">
        <v>59</v>
      </c>
      <c r="H61" s="9" t="n">
        <v>3287020.38</v>
      </c>
      <c r="I61" s="9" t="n">
        <v>2335171.1</v>
      </c>
      <c r="J61" s="9" t="n">
        <v>184665.3</v>
      </c>
      <c r="K61" s="9" t="n">
        <v>767183.98</v>
      </c>
      <c r="L61" s="8" t="n">
        <v>44</v>
      </c>
      <c r="M61" s="8" t="n">
        <v>2437</v>
      </c>
      <c r="N61" s="10" t="n">
        <v>23.34</v>
      </c>
    </row>
    <row r="62" customFormat="false" ht="15" hidden="false" customHeight="false" outlineLevel="0" collapsed="false">
      <c r="A62" s="8" t="s">
        <v>66</v>
      </c>
      <c r="B62" s="8" t="s">
        <v>67</v>
      </c>
      <c r="C62" s="8" t="s">
        <v>34</v>
      </c>
      <c r="D62" s="8" t="s">
        <v>62</v>
      </c>
      <c r="E62" s="8" t="n">
        <v>2020</v>
      </c>
      <c r="F62" s="8" t="s">
        <v>36</v>
      </c>
      <c r="G62" s="8" t="s">
        <v>37</v>
      </c>
      <c r="H62" s="9" t="n">
        <v>6353683.14</v>
      </c>
      <c r="I62" s="9" t="n">
        <v>3705741.77</v>
      </c>
      <c r="J62" s="9" t="n">
        <v>219367.73</v>
      </c>
      <c r="K62" s="9" t="n">
        <v>2428573.64</v>
      </c>
      <c r="L62" s="8" t="n">
        <v>463</v>
      </c>
      <c r="M62" s="8" t="n">
        <v>2548</v>
      </c>
      <c r="N62" s="10" t="n">
        <v>38.22</v>
      </c>
    </row>
    <row r="63" customFormat="false" ht="15" hidden="false" customHeight="false" outlineLevel="0" collapsed="false">
      <c r="A63" s="8" t="s">
        <v>66</v>
      </c>
      <c r="B63" s="8" t="s">
        <v>67</v>
      </c>
      <c r="C63" s="8" t="s">
        <v>34</v>
      </c>
      <c r="D63" s="8" t="s">
        <v>62</v>
      </c>
      <c r="E63" s="8" t="n">
        <v>2020</v>
      </c>
      <c r="F63" s="8" t="s">
        <v>38</v>
      </c>
      <c r="G63" s="8" t="s">
        <v>39</v>
      </c>
      <c r="H63" s="9" t="n">
        <v>6336367.64</v>
      </c>
      <c r="I63" s="9" t="n">
        <v>4627015.89</v>
      </c>
      <c r="J63" s="9" t="n">
        <v>412236.85</v>
      </c>
      <c r="K63" s="9" t="n">
        <v>1297114.9</v>
      </c>
      <c r="L63" s="8" t="n">
        <v>463</v>
      </c>
      <c r="M63" s="8" t="n">
        <v>4983</v>
      </c>
      <c r="N63" s="10" t="n">
        <v>20.47</v>
      </c>
    </row>
    <row r="64" customFormat="false" ht="15" hidden="false" customHeight="false" outlineLevel="0" collapsed="false">
      <c r="A64" s="8" t="s">
        <v>66</v>
      </c>
      <c r="B64" s="8" t="s">
        <v>67</v>
      </c>
      <c r="C64" s="8" t="s">
        <v>34</v>
      </c>
      <c r="D64" s="8" t="s">
        <v>62</v>
      </c>
      <c r="E64" s="8" t="n">
        <v>2020</v>
      </c>
      <c r="F64" s="8" t="s">
        <v>40</v>
      </c>
      <c r="G64" s="8" t="s">
        <v>41</v>
      </c>
      <c r="H64" s="9" t="n">
        <v>5857570.13</v>
      </c>
      <c r="I64" s="9" t="n">
        <v>3533213.58</v>
      </c>
      <c r="J64" s="9" t="n">
        <v>256348.85</v>
      </c>
      <c r="K64" s="9" t="n">
        <v>2068007.7</v>
      </c>
      <c r="L64" s="8" t="n">
        <v>466</v>
      </c>
      <c r="M64" s="8" t="n">
        <v>3729</v>
      </c>
      <c r="N64" s="10" t="n">
        <v>35.3</v>
      </c>
    </row>
    <row r="65" customFormat="false" ht="15" hidden="false" customHeight="false" outlineLevel="0" collapsed="false">
      <c r="A65" s="8" t="s">
        <v>66</v>
      </c>
      <c r="B65" s="8" t="s">
        <v>67</v>
      </c>
      <c r="C65" s="8" t="s">
        <v>34</v>
      </c>
      <c r="D65" s="8" t="s">
        <v>62</v>
      </c>
      <c r="E65" s="8" t="n">
        <v>2020</v>
      </c>
      <c r="F65" s="8" t="s">
        <v>42</v>
      </c>
      <c r="G65" s="8" t="s">
        <v>43</v>
      </c>
      <c r="H65" s="9" t="n">
        <v>5576591.78</v>
      </c>
      <c r="I65" s="9" t="n">
        <v>3412347.31</v>
      </c>
      <c r="J65" s="9" t="n">
        <v>346673.19</v>
      </c>
      <c r="K65" s="9" t="n">
        <v>1817571.28</v>
      </c>
      <c r="L65" s="8" t="n">
        <v>468</v>
      </c>
      <c r="M65" s="8" t="n">
        <v>5180</v>
      </c>
      <c r="N65" s="10" t="n">
        <v>32.59</v>
      </c>
    </row>
    <row r="66" customFormat="false" ht="15" hidden="false" customHeight="false" outlineLevel="0" collapsed="false">
      <c r="A66" s="8" t="s">
        <v>66</v>
      </c>
      <c r="B66" s="8" t="s">
        <v>67</v>
      </c>
      <c r="C66" s="8" t="s">
        <v>34</v>
      </c>
      <c r="D66" s="8" t="s">
        <v>62</v>
      </c>
      <c r="E66" s="8" t="n">
        <v>2021</v>
      </c>
      <c r="F66" s="8" t="s">
        <v>36</v>
      </c>
      <c r="G66" s="8" t="s">
        <v>44</v>
      </c>
      <c r="H66" s="9" t="n">
        <v>6912587.15</v>
      </c>
      <c r="I66" s="9" t="n">
        <v>3916324.06</v>
      </c>
      <c r="J66" s="9" t="n">
        <v>588610.9</v>
      </c>
      <c r="K66" s="9" t="n">
        <v>2407652.19</v>
      </c>
      <c r="L66" s="8" t="n">
        <v>465</v>
      </c>
      <c r="M66" s="8" t="n">
        <v>6399</v>
      </c>
      <c r="N66" s="10" t="n">
        <v>34.83</v>
      </c>
    </row>
    <row r="67" customFormat="false" ht="15" hidden="false" customHeight="false" outlineLevel="0" collapsed="false">
      <c r="A67" s="8" t="s">
        <v>66</v>
      </c>
      <c r="B67" s="8" t="s">
        <v>67</v>
      </c>
      <c r="C67" s="8" t="s">
        <v>34</v>
      </c>
      <c r="D67" s="8" t="s">
        <v>62</v>
      </c>
      <c r="E67" s="8" t="n">
        <v>2021</v>
      </c>
      <c r="F67" s="8" t="s">
        <v>38</v>
      </c>
      <c r="G67" s="8" t="s">
        <v>45</v>
      </c>
      <c r="H67" s="9" t="n">
        <v>7324143.94</v>
      </c>
      <c r="I67" s="9" t="n">
        <v>4731939.09</v>
      </c>
      <c r="J67" s="9" t="n">
        <v>561440.58</v>
      </c>
      <c r="K67" s="9" t="n">
        <v>2030764.27</v>
      </c>
      <c r="L67" s="8" t="n">
        <v>462</v>
      </c>
      <c r="M67" s="8" t="n">
        <v>3314</v>
      </c>
      <c r="N67" s="10" t="n">
        <v>27.73</v>
      </c>
    </row>
    <row r="68" customFormat="false" ht="15" hidden="false" customHeight="false" outlineLevel="0" collapsed="false">
      <c r="A68" s="8" t="s">
        <v>66</v>
      </c>
      <c r="B68" s="8" t="s">
        <v>67</v>
      </c>
      <c r="C68" s="8" t="s">
        <v>34</v>
      </c>
      <c r="D68" s="8" t="s">
        <v>62</v>
      </c>
      <c r="E68" s="8" t="n">
        <v>2021</v>
      </c>
      <c r="F68" s="8" t="s">
        <v>40</v>
      </c>
      <c r="G68" s="8" t="s">
        <v>46</v>
      </c>
      <c r="H68" s="9" t="n">
        <v>6482465.54</v>
      </c>
      <c r="I68" s="9" t="n">
        <v>3919826.43</v>
      </c>
      <c r="J68" s="9" t="n">
        <v>355817.15</v>
      </c>
      <c r="K68" s="9" t="n">
        <v>2206821.96</v>
      </c>
      <c r="L68" s="8" t="n">
        <v>228</v>
      </c>
      <c r="M68" s="8" t="n">
        <v>3076</v>
      </c>
      <c r="N68" s="10" t="n">
        <v>34.04</v>
      </c>
    </row>
    <row r="69" customFormat="false" ht="15" hidden="false" customHeight="false" outlineLevel="0" collapsed="false">
      <c r="A69" s="8" t="s">
        <v>66</v>
      </c>
      <c r="B69" s="8" t="s">
        <v>67</v>
      </c>
      <c r="C69" s="8" t="s">
        <v>34</v>
      </c>
      <c r="D69" s="8" t="s">
        <v>62</v>
      </c>
      <c r="E69" s="8" t="n">
        <v>2021</v>
      </c>
      <c r="F69" s="8" t="s">
        <v>42</v>
      </c>
      <c r="G69" s="8" t="s">
        <v>47</v>
      </c>
      <c r="H69" s="9" t="n">
        <v>6079948.54</v>
      </c>
      <c r="I69" s="9" t="n">
        <v>3803434.08</v>
      </c>
      <c r="J69" s="9" t="n">
        <v>458579.34</v>
      </c>
      <c r="K69" s="9" t="n">
        <v>1817935.12</v>
      </c>
      <c r="L69" s="8" t="n">
        <v>464</v>
      </c>
      <c r="M69" s="8" t="n">
        <v>4953</v>
      </c>
      <c r="N69" s="10" t="n">
        <v>29.9</v>
      </c>
    </row>
    <row r="70" customFormat="false" ht="15" hidden="false" customHeight="false" outlineLevel="0" collapsed="false">
      <c r="A70" s="8" t="s">
        <v>66</v>
      </c>
      <c r="B70" s="8" t="s">
        <v>67</v>
      </c>
      <c r="C70" s="8" t="s">
        <v>34</v>
      </c>
      <c r="D70" s="8" t="s">
        <v>62</v>
      </c>
      <c r="E70" s="8" t="n">
        <v>2022</v>
      </c>
      <c r="F70" s="8" t="s">
        <v>36</v>
      </c>
      <c r="G70" s="8" t="s">
        <v>48</v>
      </c>
      <c r="H70" s="9" t="n">
        <v>6211083.4</v>
      </c>
      <c r="I70" s="9" t="n">
        <v>4183945.08</v>
      </c>
      <c r="J70" s="9" t="n">
        <v>436651.84</v>
      </c>
      <c r="K70" s="9" t="n">
        <v>1590486.48</v>
      </c>
      <c r="L70" s="8" t="n">
        <v>462</v>
      </c>
      <c r="M70" s="8" t="n">
        <v>3198</v>
      </c>
      <c r="N70" s="10" t="n">
        <v>25.61</v>
      </c>
    </row>
    <row r="71" customFormat="false" ht="15" hidden="false" customHeight="false" outlineLevel="0" collapsed="false">
      <c r="A71" s="8" t="s">
        <v>66</v>
      </c>
      <c r="B71" s="8" t="s">
        <v>67</v>
      </c>
      <c r="C71" s="8" t="s">
        <v>34</v>
      </c>
      <c r="D71" s="8" t="s">
        <v>62</v>
      </c>
      <c r="E71" s="8" t="n">
        <v>2022</v>
      </c>
      <c r="F71" s="8" t="s">
        <v>38</v>
      </c>
      <c r="G71" s="8" t="s">
        <v>49</v>
      </c>
      <c r="H71" s="9" t="n">
        <v>7171086.41</v>
      </c>
      <c r="I71" s="9" t="n">
        <v>5136464.88</v>
      </c>
      <c r="J71" s="9" t="n">
        <v>420029.48</v>
      </c>
      <c r="K71" s="9" t="n">
        <v>1614592.05</v>
      </c>
      <c r="L71" s="8" t="n">
        <v>464</v>
      </c>
      <c r="M71" s="8" t="n">
        <v>2932</v>
      </c>
      <c r="N71" s="10" t="n">
        <v>22.52</v>
      </c>
    </row>
    <row r="72" customFormat="false" ht="15" hidden="false" customHeight="false" outlineLevel="0" collapsed="false">
      <c r="A72" s="8" t="s">
        <v>66</v>
      </c>
      <c r="B72" s="8" t="s">
        <v>67</v>
      </c>
      <c r="C72" s="8" t="s">
        <v>34</v>
      </c>
      <c r="D72" s="8" t="s">
        <v>62</v>
      </c>
      <c r="E72" s="8" t="n">
        <v>2022</v>
      </c>
      <c r="F72" s="8" t="s">
        <v>40</v>
      </c>
      <c r="G72" s="8" t="s">
        <v>50</v>
      </c>
      <c r="H72" s="9" t="n">
        <v>6733309.65</v>
      </c>
      <c r="I72" s="9" t="n">
        <v>3742080.84</v>
      </c>
      <c r="J72" s="9" t="n">
        <v>256141.25</v>
      </c>
      <c r="K72" s="9" t="n">
        <v>2735087.56</v>
      </c>
      <c r="L72" s="8" t="n">
        <v>463</v>
      </c>
      <c r="M72" s="8" t="n">
        <v>3371</v>
      </c>
      <c r="N72" s="10" t="n">
        <v>40.62</v>
      </c>
    </row>
    <row r="73" customFormat="false" ht="15" hidden="false" customHeight="false" outlineLevel="0" collapsed="false">
      <c r="A73" s="8" t="s">
        <v>66</v>
      </c>
      <c r="B73" s="8" t="s">
        <v>67</v>
      </c>
      <c r="C73" s="8" t="s">
        <v>34</v>
      </c>
      <c r="D73" s="8" t="s">
        <v>62</v>
      </c>
      <c r="E73" s="8" t="n">
        <v>2022</v>
      </c>
      <c r="F73" s="8" t="s">
        <v>42</v>
      </c>
      <c r="G73" s="8" t="s">
        <v>51</v>
      </c>
      <c r="H73" s="9" t="n">
        <v>6777379.16</v>
      </c>
      <c r="I73" s="9" t="n">
        <v>4564244.58</v>
      </c>
      <c r="J73" s="9" t="n">
        <v>570581.2</v>
      </c>
      <c r="K73" s="9" t="n">
        <v>1642553.38</v>
      </c>
      <c r="L73" s="8" t="n">
        <v>466</v>
      </c>
      <c r="M73" s="8" t="n">
        <v>3600</v>
      </c>
      <c r="N73" s="10" t="n">
        <v>24.24</v>
      </c>
    </row>
    <row r="74" customFormat="false" ht="15" hidden="false" customHeight="false" outlineLevel="0" collapsed="false">
      <c r="A74" s="8" t="s">
        <v>66</v>
      </c>
      <c r="B74" s="8" t="s">
        <v>67</v>
      </c>
      <c r="C74" s="8" t="s">
        <v>34</v>
      </c>
      <c r="D74" s="8" t="s">
        <v>62</v>
      </c>
      <c r="E74" s="8" t="n">
        <v>2023</v>
      </c>
      <c r="F74" s="8" t="s">
        <v>36</v>
      </c>
      <c r="G74" s="8" t="s">
        <v>52</v>
      </c>
      <c r="H74" s="9" t="n">
        <v>7281357.84</v>
      </c>
      <c r="I74" s="9" t="n">
        <v>4753255.09</v>
      </c>
      <c r="J74" s="9" t="n">
        <v>370587.1</v>
      </c>
      <c r="K74" s="9" t="n">
        <v>2157515.65</v>
      </c>
      <c r="L74" s="8" t="n">
        <v>465</v>
      </c>
      <c r="M74" s="8" t="n">
        <v>3919</v>
      </c>
      <c r="N74" s="10" t="n">
        <v>29.63</v>
      </c>
    </row>
    <row r="75" customFormat="false" ht="15" hidden="false" customHeight="false" outlineLevel="0" collapsed="false">
      <c r="A75" s="8" t="s">
        <v>66</v>
      </c>
      <c r="B75" s="8" t="s">
        <v>67</v>
      </c>
      <c r="C75" s="8" t="s">
        <v>34</v>
      </c>
      <c r="D75" s="8" t="s">
        <v>62</v>
      </c>
      <c r="E75" s="8" t="n">
        <v>2023</v>
      </c>
      <c r="F75" s="8" t="s">
        <v>38</v>
      </c>
      <c r="G75" s="8" t="s">
        <v>53</v>
      </c>
      <c r="H75" s="9" t="n">
        <v>8123055.71</v>
      </c>
      <c r="I75" s="9" t="n">
        <v>5761637.56</v>
      </c>
      <c r="J75" s="9" t="n">
        <v>583710.7</v>
      </c>
      <c r="K75" s="9" t="n">
        <v>1777707.45</v>
      </c>
      <c r="L75" s="8" t="n">
        <v>465</v>
      </c>
      <c r="M75" s="8" t="n">
        <v>3854</v>
      </c>
      <c r="N75" s="10" t="n">
        <v>21.88</v>
      </c>
    </row>
    <row r="76" customFormat="false" ht="15" hidden="false" customHeight="false" outlineLevel="0" collapsed="false">
      <c r="A76" s="8" t="s">
        <v>66</v>
      </c>
      <c r="B76" s="8" t="s">
        <v>67</v>
      </c>
      <c r="C76" s="8" t="s">
        <v>34</v>
      </c>
      <c r="D76" s="8" t="s">
        <v>62</v>
      </c>
      <c r="E76" s="8" t="n">
        <v>2023</v>
      </c>
      <c r="F76" s="8" t="s">
        <v>40</v>
      </c>
      <c r="G76" s="8" t="s">
        <v>54</v>
      </c>
      <c r="H76" s="9" t="n">
        <v>7267142.12</v>
      </c>
      <c r="I76" s="9" t="n">
        <v>4474745.1</v>
      </c>
      <c r="J76" s="9" t="n">
        <v>432809.81</v>
      </c>
      <c r="K76" s="9" t="n">
        <v>2359587.21</v>
      </c>
      <c r="L76" s="8" t="n">
        <v>462</v>
      </c>
      <c r="M76" s="8" t="n">
        <v>7822</v>
      </c>
      <c r="N76" s="10" t="n">
        <v>32.47</v>
      </c>
    </row>
    <row r="77" customFormat="false" ht="15" hidden="false" customHeight="false" outlineLevel="0" collapsed="false">
      <c r="A77" s="8" t="s">
        <v>66</v>
      </c>
      <c r="B77" s="8" t="s">
        <v>67</v>
      </c>
      <c r="C77" s="8" t="s">
        <v>34</v>
      </c>
      <c r="D77" s="8" t="s">
        <v>62</v>
      </c>
      <c r="E77" s="8" t="n">
        <v>2023</v>
      </c>
      <c r="F77" s="8" t="s">
        <v>42</v>
      </c>
      <c r="G77" s="8" t="s">
        <v>55</v>
      </c>
      <c r="H77" s="9" t="n">
        <v>6855715.82</v>
      </c>
      <c r="I77" s="9" t="n">
        <v>4572441.75</v>
      </c>
      <c r="J77" s="9" t="n">
        <v>394938.25</v>
      </c>
      <c r="K77" s="9" t="n">
        <v>1888335.82</v>
      </c>
      <c r="L77" s="8" t="n">
        <v>462</v>
      </c>
      <c r="M77" s="8" t="n">
        <v>6198</v>
      </c>
      <c r="N77" s="10" t="n">
        <v>27.54</v>
      </c>
    </row>
    <row r="78" customFormat="false" ht="15" hidden="false" customHeight="false" outlineLevel="0" collapsed="false">
      <c r="A78" s="8" t="s">
        <v>66</v>
      </c>
      <c r="B78" s="8" t="s">
        <v>67</v>
      </c>
      <c r="C78" s="8" t="s">
        <v>34</v>
      </c>
      <c r="D78" s="8" t="s">
        <v>62</v>
      </c>
      <c r="E78" s="8" t="n">
        <v>2024</v>
      </c>
      <c r="F78" s="8" t="s">
        <v>36</v>
      </c>
      <c r="G78" s="8" t="s">
        <v>56</v>
      </c>
      <c r="H78" s="9" t="n">
        <v>7564024.53</v>
      </c>
      <c r="I78" s="9" t="n">
        <v>5170098.11</v>
      </c>
      <c r="J78" s="9" t="n">
        <v>442024.18</v>
      </c>
      <c r="K78" s="9" t="n">
        <v>1951902.24</v>
      </c>
      <c r="L78" s="8" t="n">
        <v>463</v>
      </c>
      <c r="M78" s="8" t="n">
        <v>8699</v>
      </c>
      <c r="N78" s="10" t="n">
        <v>25.81</v>
      </c>
    </row>
    <row r="79" customFormat="false" ht="15" hidden="false" customHeight="false" outlineLevel="0" collapsed="false">
      <c r="A79" s="8" t="s">
        <v>66</v>
      </c>
      <c r="B79" s="8" t="s">
        <v>67</v>
      </c>
      <c r="C79" s="8" t="s">
        <v>34</v>
      </c>
      <c r="D79" s="8" t="s">
        <v>62</v>
      </c>
      <c r="E79" s="8" t="n">
        <v>2024</v>
      </c>
      <c r="F79" s="8" t="s">
        <v>38</v>
      </c>
      <c r="G79" s="8" t="s">
        <v>57</v>
      </c>
      <c r="H79" s="9" t="n">
        <v>7774067.68</v>
      </c>
      <c r="I79" s="9" t="n">
        <v>4816220.29</v>
      </c>
      <c r="J79" s="9" t="n">
        <v>394183.77</v>
      </c>
      <c r="K79" s="9" t="n">
        <v>2563663.62</v>
      </c>
      <c r="L79" s="8" t="n">
        <v>463</v>
      </c>
      <c r="M79" s="8" t="n">
        <v>4550</v>
      </c>
      <c r="N79" s="10" t="n">
        <v>32.98</v>
      </c>
    </row>
    <row r="80" customFormat="false" ht="15" hidden="false" customHeight="false" outlineLevel="0" collapsed="false">
      <c r="A80" s="8" t="s">
        <v>66</v>
      </c>
      <c r="B80" s="8" t="s">
        <v>67</v>
      </c>
      <c r="C80" s="8" t="s">
        <v>34</v>
      </c>
      <c r="D80" s="8" t="s">
        <v>62</v>
      </c>
      <c r="E80" s="8" t="n">
        <v>2024</v>
      </c>
      <c r="F80" s="8" t="s">
        <v>40</v>
      </c>
      <c r="G80" s="8" t="s">
        <v>58</v>
      </c>
      <c r="H80" s="9" t="n">
        <v>7250118.43</v>
      </c>
      <c r="I80" s="9" t="n">
        <v>4988653.99</v>
      </c>
      <c r="J80" s="9" t="n">
        <v>436493.64</v>
      </c>
      <c r="K80" s="9" t="n">
        <v>1824970.8</v>
      </c>
      <c r="L80" s="8" t="n">
        <v>466</v>
      </c>
      <c r="M80" s="8" t="n">
        <v>3172</v>
      </c>
      <c r="N80" s="10" t="n">
        <v>25.17</v>
      </c>
    </row>
    <row r="81" customFormat="false" ht="15" hidden="false" customHeight="false" outlineLevel="0" collapsed="false">
      <c r="A81" s="8" t="s">
        <v>66</v>
      </c>
      <c r="B81" s="8" t="s">
        <v>67</v>
      </c>
      <c r="C81" s="8" t="s">
        <v>34</v>
      </c>
      <c r="D81" s="8" t="s">
        <v>62</v>
      </c>
      <c r="E81" s="8" t="n">
        <v>2024</v>
      </c>
      <c r="F81" s="8" t="s">
        <v>42</v>
      </c>
      <c r="G81" s="8" t="s">
        <v>59</v>
      </c>
      <c r="H81" s="9" t="n">
        <v>7011407.01</v>
      </c>
      <c r="I81" s="9" t="n">
        <v>3859912.81</v>
      </c>
      <c r="J81" s="9" t="n">
        <v>369060.54</v>
      </c>
      <c r="K81" s="9" t="n">
        <v>2782433.66</v>
      </c>
      <c r="L81" s="8" t="n">
        <v>468</v>
      </c>
      <c r="M81" s="8" t="n">
        <v>4094</v>
      </c>
      <c r="N81" s="10" t="n">
        <v>39.68</v>
      </c>
    </row>
    <row r="82" customFormat="false" ht="15" hidden="false" customHeight="false" outlineLevel="0" collapsed="false">
      <c r="A82" s="8" t="s">
        <v>68</v>
      </c>
      <c r="B82" s="8" t="s">
        <v>69</v>
      </c>
      <c r="C82" s="8" t="s">
        <v>34</v>
      </c>
      <c r="D82" s="8" t="s">
        <v>62</v>
      </c>
      <c r="E82" s="8" t="n">
        <v>2020</v>
      </c>
      <c r="F82" s="8" t="s">
        <v>36</v>
      </c>
      <c r="G82" s="8" t="s">
        <v>37</v>
      </c>
      <c r="H82" s="9" t="n">
        <v>3909594.37</v>
      </c>
      <c r="I82" s="9" t="n">
        <v>2265796.89</v>
      </c>
      <c r="J82" s="9" t="n">
        <v>279923.075</v>
      </c>
      <c r="K82" s="9" t="n">
        <v>1363874.405</v>
      </c>
      <c r="L82" s="8" t="n">
        <v>386</v>
      </c>
      <c r="M82" s="8" t="n">
        <v>1748</v>
      </c>
      <c r="N82" s="10" t="n">
        <v>34.89</v>
      </c>
    </row>
    <row r="83" customFormat="false" ht="15" hidden="false" customHeight="false" outlineLevel="0" collapsed="false">
      <c r="A83" s="8" t="s">
        <v>68</v>
      </c>
      <c r="B83" s="8" t="s">
        <v>69</v>
      </c>
      <c r="C83" s="8" t="s">
        <v>34</v>
      </c>
      <c r="D83" s="8" t="s">
        <v>62</v>
      </c>
      <c r="E83" s="8" t="n">
        <v>2020</v>
      </c>
      <c r="F83" s="8" t="s">
        <v>38</v>
      </c>
      <c r="G83" s="8" t="s">
        <v>39</v>
      </c>
      <c r="H83" s="9" t="n">
        <v>3766977.19</v>
      </c>
      <c r="I83" s="9" t="n">
        <v>2152580.36</v>
      </c>
      <c r="J83" s="9" t="n">
        <v>233276.88</v>
      </c>
      <c r="K83" s="9" t="n">
        <v>1381119.95</v>
      </c>
      <c r="L83" s="8" t="n">
        <v>383</v>
      </c>
      <c r="M83" s="8" t="n">
        <v>3107</v>
      </c>
      <c r="N83" s="10" t="n">
        <v>36.66</v>
      </c>
    </row>
    <row r="84" customFormat="false" ht="15" hidden="false" customHeight="false" outlineLevel="0" collapsed="false">
      <c r="A84" s="8" t="s">
        <v>68</v>
      </c>
      <c r="B84" s="8" t="s">
        <v>69</v>
      </c>
      <c r="C84" s="8" t="s">
        <v>34</v>
      </c>
      <c r="D84" s="8" t="s">
        <v>62</v>
      </c>
      <c r="E84" s="8" t="n">
        <v>2020</v>
      </c>
      <c r="F84" s="8" t="s">
        <v>40</v>
      </c>
      <c r="G84" s="8" t="s">
        <v>41</v>
      </c>
      <c r="H84" s="9" t="n">
        <v>3529645.54</v>
      </c>
      <c r="I84" s="9" t="n">
        <v>2534786.7</v>
      </c>
      <c r="J84" s="9" t="n">
        <v>225325.18</v>
      </c>
      <c r="K84" s="9" t="n">
        <v>769533.66</v>
      </c>
      <c r="L84" s="8" t="n">
        <v>384</v>
      </c>
      <c r="M84" s="8" t="n">
        <v>2950</v>
      </c>
      <c r="N84" s="10" t="n">
        <v>21.8</v>
      </c>
    </row>
    <row r="85" customFormat="false" ht="15" hidden="false" customHeight="false" outlineLevel="0" collapsed="false">
      <c r="A85" s="8" t="s">
        <v>68</v>
      </c>
      <c r="B85" s="8" t="s">
        <v>69</v>
      </c>
      <c r="C85" s="8" t="s">
        <v>34</v>
      </c>
      <c r="D85" s="8" t="s">
        <v>62</v>
      </c>
      <c r="E85" s="8" t="n">
        <v>2020</v>
      </c>
      <c r="F85" s="8" t="s">
        <v>42</v>
      </c>
      <c r="G85" s="8" t="s">
        <v>43</v>
      </c>
      <c r="H85" s="9" t="n">
        <v>3266058.49</v>
      </c>
      <c r="I85" s="9" t="n">
        <v>2239929.75</v>
      </c>
      <c r="J85" s="9" t="n">
        <v>214304.22</v>
      </c>
      <c r="K85" s="9" t="n">
        <v>811824.52</v>
      </c>
      <c r="L85" s="8" t="n">
        <v>387</v>
      </c>
      <c r="M85" s="8" t="n">
        <v>3446</v>
      </c>
      <c r="N85" s="10" t="n">
        <v>24.86</v>
      </c>
    </row>
    <row r="86" customFormat="false" ht="15" hidden="false" customHeight="false" outlineLevel="0" collapsed="false">
      <c r="A86" s="8" t="s">
        <v>68</v>
      </c>
      <c r="B86" s="8" t="s">
        <v>69</v>
      </c>
      <c r="C86" s="8" t="s">
        <v>34</v>
      </c>
      <c r="D86" s="8" t="s">
        <v>62</v>
      </c>
      <c r="E86" s="8" t="n">
        <v>2021</v>
      </c>
      <c r="F86" s="8" t="s">
        <v>36</v>
      </c>
      <c r="G86" s="8" t="s">
        <v>44</v>
      </c>
      <c r="H86" s="9" t="n">
        <v>3829629.92</v>
      </c>
      <c r="I86" s="9" t="n">
        <v>2538629.92</v>
      </c>
      <c r="J86" s="9" t="n">
        <v>249661.72</v>
      </c>
      <c r="K86" s="9" t="n">
        <v>1041338.28</v>
      </c>
      <c r="L86" s="8" t="n">
        <v>385</v>
      </c>
      <c r="M86" s="8" t="n">
        <v>1644</v>
      </c>
      <c r="N86" s="10" t="n">
        <v>27.19</v>
      </c>
    </row>
    <row r="87" customFormat="false" ht="15" hidden="false" customHeight="false" outlineLevel="0" collapsed="false">
      <c r="A87" s="8" t="s">
        <v>68</v>
      </c>
      <c r="B87" s="8" t="s">
        <v>69</v>
      </c>
      <c r="C87" s="8" t="s">
        <v>34</v>
      </c>
      <c r="D87" s="8" t="s">
        <v>62</v>
      </c>
      <c r="E87" s="8" t="n">
        <v>2021</v>
      </c>
      <c r="F87" s="8" t="s">
        <v>38</v>
      </c>
      <c r="G87" s="8" t="s">
        <v>45</v>
      </c>
      <c r="H87" s="9" t="n">
        <v>3867342.12</v>
      </c>
      <c r="I87" s="9" t="n">
        <v>2512417.03</v>
      </c>
      <c r="J87" s="9" t="n">
        <v>172720.1</v>
      </c>
      <c r="K87" s="9" t="n">
        <v>1182204.99</v>
      </c>
      <c r="L87" s="8" t="n">
        <v>228</v>
      </c>
      <c r="M87" s="8" t="n">
        <v>4757</v>
      </c>
      <c r="N87" s="10" t="n">
        <v>30.57</v>
      </c>
    </row>
    <row r="88" customFormat="false" ht="15" hidden="false" customHeight="false" outlineLevel="0" collapsed="false">
      <c r="A88" s="8" t="s">
        <v>68</v>
      </c>
      <c r="B88" s="8" t="s">
        <v>69</v>
      </c>
      <c r="C88" s="8" t="s">
        <v>34</v>
      </c>
      <c r="D88" s="8" t="s">
        <v>62</v>
      </c>
      <c r="E88" s="8" t="n">
        <v>2021</v>
      </c>
      <c r="F88" s="8" t="s">
        <v>40</v>
      </c>
      <c r="G88" s="8" t="s">
        <v>46</v>
      </c>
      <c r="H88" s="9" t="n">
        <v>3751259.03</v>
      </c>
      <c r="I88" s="9" t="n">
        <v>2203164.71</v>
      </c>
      <c r="J88" s="9" t="n">
        <v>148703.22</v>
      </c>
      <c r="K88" s="9" t="n">
        <v>1399391.1</v>
      </c>
      <c r="L88" s="8" t="n">
        <v>389</v>
      </c>
      <c r="M88" s="8" t="n">
        <v>1613</v>
      </c>
      <c r="N88" s="10" t="n">
        <v>37.3</v>
      </c>
    </row>
    <row r="89" customFormat="false" ht="15" hidden="false" customHeight="false" outlineLevel="0" collapsed="false">
      <c r="A89" s="8" t="s">
        <v>68</v>
      </c>
      <c r="B89" s="8" t="s">
        <v>69</v>
      </c>
      <c r="C89" s="8" t="s">
        <v>34</v>
      </c>
      <c r="D89" s="8" t="s">
        <v>62</v>
      </c>
      <c r="E89" s="8" t="n">
        <v>2021</v>
      </c>
      <c r="F89" s="8" t="s">
        <v>42</v>
      </c>
      <c r="G89" s="8" t="s">
        <v>47</v>
      </c>
      <c r="H89" s="9" t="n">
        <v>3474435.93</v>
      </c>
      <c r="I89" s="9" t="n">
        <v>1923616.23</v>
      </c>
      <c r="J89" s="9" t="n">
        <v>114997.33</v>
      </c>
      <c r="K89" s="9" t="n">
        <v>1435822.37</v>
      </c>
      <c r="L89" s="8" t="n">
        <v>392</v>
      </c>
      <c r="M89" s="8" t="n">
        <v>1472</v>
      </c>
      <c r="N89" s="10" t="n">
        <v>41.33</v>
      </c>
    </row>
    <row r="90" customFormat="false" ht="15" hidden="false" customHeight="false" outlineLevel="0" collapsed="false">
      <c r="A90" s="8" t="s">
        <v>68</v>
      </c>
      <c r="B90" s="8" t="s">
        <v>69</v>
      </c>
      <c r="C90" s="8" t="s">
        <v>34</v>
      </c>
      <c r="D90" s="8" t="s">
        <v>62</v>
      </c>
      <c r="E90" s="8" t="n">
        <v>2022</v>
      </c>
      <c r="F90" s="8" t="s">
        <v>36</v>
      </c>
      <c r="G90" s="8" t="s">
        <v>48</v>
      </c>
      <c r="H90" s="9" t="n">
        <v>3812843.5</v>
      </c>
      <c r="I90" s="9" t="n">
        <v>2606950.32</v>
      </c>
      <c r="J90" s="9" t="n">
        <v>153479.36</v>
      </c>
      <c r="K90" s="9" t="n">
        <v>1052413.82</v>
      </c>
      <c r="L90" s="8" t="n">
        <v>391</v>
      </c>
      <c r="M90" s="8" t="n">
        <v>2152</v>
      </c>
      <c r="N90" s="10" t="n">
        <v>27.6</v>
      </c>
    </row>
    <row r="91" customFormat="false" ht="15" hidden="false" customHeight="false" outlineLevel="0" collapsed="false">
      <c r="A91" s="8" t="s">
        <v>68</v>
      </c>
      <c r="B91" s="8" t="s">
        <v>69</v>
      </c>
      <c r="C91" s="8" t="s">
        <v>34</v>
      </c>
      <c r="D91" s="8" t="s">
        <v>62</v>
      </c>
      <c r="E91" s="8" t="n">
        <v>2022</v>
      </c>
      <c r="F91" s="8" t="s">
        <v>38</v>
      </c>
      <c r="G91" s="8" t="s">
        <v>49</v>
      </c>
      <c r="H91" s="9" t="n">
        <v>4448944.41</v>
      </c>
      <c r="I91" s="9" t="n">
        <v>2629395.16</v>
      </c>
      <c r="J91" s="9" t="n">
        <v>357316.76</v>
      </c>
      <c r="K91" s="9" t="n">
        <v>1462232.49</v>
      </c>
      <c r="L91" s="8" t="n">
        <v>388</v>
      </c>
      <c r="M91" s="8" t="n">
        <v>2615</v>
      </c>
      <c r="N91" s="10" t="n">
        <v>32.87</v>
      </c>
    </row>
    <row r="92" customFormat="false" ht="15" hidden="false" customHeight="false" outlineLevel="0" collapsed="false">
      <c r="A92" s="8" t="s">
        <v>68</v>
      </c>
      <c r="B92" s="8" t="s">
        <v>69</v>
      </c>
      <c r="C92" s="8" t="s">
        <v>34</v>
      </c>
      <c r="D92" s="8" t="s">
        <v>62</v>
      </c>
      <c r="E92" s="8" t="n">
        <v>2022</v>
      </c>
      <c r="F92" s="8" t="s">
        <v>40</v>
      </c>
      <c r="G92" s="8" t="s">
        <v>50</v>
      </c>
      <c r="H92" s="9" t="n">
        <v>3708905.35</v>
      </c>
      <c r="I92" s="9" t="n">
        <v>2154401.28</v>
      </c>
      <c r="J92" s="9" t="n">
        <v>240612.61</v>
      </c>
      <c r="K92" s="9" t="n">
        <v>1313891.46</v>
      </c>
      <c r="L92" s="8" t="n">
        <v>386</v>
      </c>
      <c r="M92" s="8" t="n">
        <v>4176</v>
      </c>
      <c r="N92" s="10" t="n">
        <v>35.43</v>
      </c>
    </row>
    <row r="93" customFormat="false" ht="15" hidden="false" customHeight="false" outlineLevel="0" collapsed="false">
      <c r="A93" s="8" t="s">
        <v>68</v>
      </c>
      <c r="B93" s="8" t="s">
        <v>69</v>
      </c>
      <c r="C93" s="8" t="s">
        <v>34</v>
      </c>
      <c r="D93" s="8" t="s">
        <v>62</v>
      </c>
      <c r="E93" s="8" t="n">
        <v>2022</v>
      </c>
      <c r="F93" s="8" t="s">
        <v>42</v>
      </c>
      <c r="G93" s="8" t="s">
        <v>51</v>
      </c>
      <c r="H93" s="9" t="n">
        <v>3434384.92</v>
      </c>
      <c r="I93" s="9" t="n">
        <v>2265734.56</v>
      </c>
      <c r="J93" s="9" t="n">
        <v>196639.41</v>
      </c>
      <c r="K93" s="9" t="n">
        <v>972010.95</v>
      </c>
      <c r="L93" s="8" t="n">
        <v>386</v>
      </c>
      <c r="M93" s="8" t="n">
        <v>1748</v>
      </c>
      <c r="N93" s="10" t="n">
        <v>28.3</v>
      </c>
    </row>
    <row r="94" customFormat="false" ht="15" hidden="false" customHeight="false" outlineLevel="0" collapsed="false">
      <c r="A94" s="8" t="s">
        <v>68</v>
      </c>
      <c r="B94" s="8" t="s">
        <v>69</v>
      </c>
      <c r="C94" s="8" t="s">
        <v>34</v>
      </c>
      <c r="D94" s="8" t="s">
        <v>62</v>
      </c>
      <c r="E94" s="8" t="n">
        <v>2023</v>
      </c>
      <c r="F94" s="8" t="s">
        <v>36</v>
      </c>
      <c r="G94" s="8" t="s">
        <v>52</v>
      </c>
      <c r="H94" s="9" t="n">
        <v>4277299.16</v>
      </c>
      <c r="I94" s="9" t="n">
        <v>2862059.56</v>
      </c>
      <c r="J94" s="9" t="n">
        <v>323422.29</v>
      </c>
      <c r="K94" s="9" t="n">
        <v>1091817.31</v>
      </c>
      <c r="L94" s="8" t="n">
        <v>383</v>
      </c>
      <c r="M94" s="8" t="n">
        <v>3070</v>
      </c>
      <c r="N94" s="10" t="n">
        <v>25.53</v>
      </c>
    </row>
    <row r="95" customFormat="false" ht="15" hidden="false" customHeight="false" outlineLevel="0" collapsed="false">
      <c r="A95" s="8" t="s">
        <v>68</v>
      </c>
      <c r="B95" s="8" t="s">
        <v>69</v>
      </c>
      <c r="C95" s="8" t="s">
        <v>34</v>
      </c>
      <c r="D95" s="8" t="s">
        <v>62</v>
      </c>
      <c r="E95" s="8" t="n">
        <v>2023</v>
      </c>
      <c r="F95" s="8" t="s">
        <v>38</v>
      </c>
      <c r="G95" s="8" t="s">
        <v>53</v>
      </c>
      <c r="H95" s="9" t="n">
        <v>4305419.13</v>
      </c>
      <c r="I95" s="9" t="n">
        <v>3010327.12</v>
      </c>
      <c r="J95" s="9" t="n">
        <v>348926.87</v>
      </c>
      <c r="K95" s="9" t="n">
        <v>946165.14</v>
      </c>
      <c r="L95" s="8" t="n">
        <v>381</v>
      </c>
      <c r="M95" s="8" t="n">
        <v>1732</v>
      </c>
      <c r="N95" s="10" t="n">
        <v>21.98</v>
      </c>
    </row>
    <row r="96" customFormat="false" ht="15" hidden="false" customHeight="false" outlineLevel="0" collapsed="false">
      <c r="A96" s="8" t="s">
        <v>68</v>
      </c>
      <c r="B96" s="8" t="s">
        <v>69</v>
      </c>
      <c r="C96" s="8" t="s">
        <v>34</v>
      </c>
      <c r="D96" s="8" t="s">
        <v>62</v>
      </c>
      <c r="E96" s="8" t="n">
        <v>2023</v>
      </c>
      <c r="F96" s="8" t="s">
        <v>40</v>
      </c>
      <c r="G96" s="8" t="s">
        <v>54</v>
      </c>
      <c r="H96" s="9" t="n">
        <v>4301097.27</v>
      </c>
      <c r="I96" s="9" t="n">
        <v>2485838.42</v>
      </c>
      <c r="J96" s="9" t="n">
        <v>346280.17</v>
      </c>
      <c r="K96" s="9" t="n">
        <v>1468978.68</v>
      </c>
      <c r="L96" s="8" t="n">
        <v>382</v>
      </c>
      <c r="M96" s="8" t="n">
        <v>3989</v>
      </c>
      <c r="N96" s="10" t="n">
        <v>34.15</v>
      </c>
    </row>
    <row r="97" customFormat="false" ht="15" hidden="false" customHeight="false" outlineLevel="0" collapsed="false">
      <c r="A97" s="8" t="s">
        <v>68</v>
      </c>
      <c r="B97" s="8" t="s">
        <v>69</v>
      </c>
      <c r="C97" s="8" t="s">
        <v>34</v>
      </c>
      <c r="D97" s="8" t="s">
        <v>62</v>
      </c>
      <c r="E97" s="8" t="n">
        <v>2023</v>
      </c>
      <c r="F97" s="8" t="s">
        <v>42</v>
      </c>
      <c r="G97" s="8" t="s">
        <v>55</v>
      </c>
      <c r="H97" s="9" t="n">
        <v>4021112.43</v>
      </c>
      <c r="I97" s="9" t="n">
        <v>2401160.44</v>
      </c>
      <c r="J97" s="9" t="n">
        <v>165606.7</v>
      </c>
      <c r="K97" s="9" t="n">
        <v>1454345.29</v>
      </c>
      <c r="L97" s="8" t="n">
        <v>380</v>
      </c>
      <c r="M97" s="8" t="n">
        <v>3006</v>
      </c>
      <c r="N97" s="10" t="n">
        <v>36.17</v>
      </c>
    </row>
    <row r="98" customFormat="false" ht="15" hidden="false" customHeight="false" outlineLevel="0" collapsed="false">
      <c r="A98" s="8" t="s">
        <v>68</v>
      </c>
      <c r="B98" s="8" t="s">
        <v>69</v>
      </c>
      <c r="C98" s="8" t="s">
        <v>34</v>
      </c>
      <c r="D98" s="8" t="s">
        <v>62</v>
      </c>
      <c r="E98" s="8" t="n">
        <v>2024</v>
      </c>
      <c r="F98" s="8" t="s">
        <v>36</v>
      </c>
      <c r="G98" s="8" t="s">
        <v>56</v>
      </c>
      <c r="H98" s="9" t="n">
        <v>4551521.12</v>
      </c>
      <c r="I98" s="9" t="n">
        <v>2846470.72</v>
      </c>
      <c r="J98" s="9" t="n">
        <v>279923.075</v>
      </c>
      <c r="K98" s="9" t="n">
        <v>1425127.325</v>
      </c>
      <c r="L98" s="8" t="n">
        <v>383</v>
      </c>
      <c r="M98" s="8" t="n">
        <v>2197</v>
      </c>
      <c r="N98" s="10" t="n">
        <v>31.31</v>
      </c>
    </row>
    <row r="99" customFormat="false" ht="15" hidden="false" customHeight="false" outlineLevel="0" collapsed="false">
      <c r="A99" s="8" t="s">
        <v>68</v>
      </c>
      <c r="B99" s="8" t="s">
        <v>69</v>
      </c>
      <c r="C99" s="8" t="s">
        <v>34</v>
      </c>
      <c r="D99" s="8" t="s">
        <v>62</v>
      </c>
      <c r="E99" s="8" t="n">
        <v>2024</v>
      </c>
      <c r="F99" s="8" t="s">
        <v>38</v>
      </c>
      <c r="G99" s="8" t="s">
        <v>57</v>
      </c>
      <c r="H99" s="9" t="n">
        <v>4606883.47</v>
      </c>
      <c r="I99" s="9" t="n">
        <v>2861208.59</v>
      </c>
      <c r="J99" s="9" t="n">
        <v>297831.22</v>
      </c>
      <c r="K99" s="9" t="n">
        <v>1447843.66</v>
      </c>
      <c r="L99" s="8" t="n">
        <v>382</v>
      </c>
      <c r="M99" s="8" t="n">
        <v>5044</v>
      </c>
      <c r="N99" s="10" t="n">
        <v>31.43</v>
      </c>
    </row>
    <row r="100" customFormat="false" ht="15" hidden="false" customHeight="false" outlineLevel="0" collapsed="false">
      <c r="A100" s="8" t="s">
        <v>68</v>
      </c>
      <c r="B100" s="8" t="s">
        <v>69</v>
      </c>
      <c r="C100" s="8" t="s">
        <v>34</v>
      </c>
      <c r="D100" s="8" t="s">
        <v>62</v>
      </c>
      <c r="E100" s="8" t="n">
        <v>2024</v>
      </c>
      <c r="F100" s="8" t="s">
        <v>40</v>
      </c>
      <c r="G100" s="8" t="s">
        <v>58</v>
      </c>
      <c r="H100" s="9" t="n">
        <v>3888252.72</v>
      </c>
      <c r="I100" s="9" t="n">
        <v>2706650.93</v>
      </c>
      <c r="J100" s="9" t="n">
        <v>194291.89</v>
      </c>
      <c r="K100" s="9" t="n">
        <v>987309.9</v>
      </c>
      <c r="L100" s="8" t="n">
        <v>379</v>
      </c>
      <c r="M100" s="8" t="n">
        <v>1695</v>
      </c>
      <c r="N100" s="10" t="n">
        <v>25.39</v>
      </c>
    </row>
    <row r="101" customFormat="false" ht="15" hidden="false" customHeight="false" outlineLevel="0" collapsed="false">
      <c r="A101" s="8" t="s">
        <v>68</v>
      </c>
      <c r="B101" s="8" t="s">
        <v>69</v>
      </c>
      <c r="C101" s="8" t="s">
        <v>34</v>
      </c>
      <c r="D101" s="8" t="s">
        <v>62</v>
      </c>
      <c r="E101" s="8" t="n">
        <v>2024</v>
      </c>
      <c r="F101" s="8" t="s">
        <v>42</v>
      </c>
      <c r="G101" s="8" t="s">
        <v>59</v>
      </c>
      <c r="H101" s="9" t="n">
        <v>4189672.55</v>
      </c>
      <c r="I101" s="9" t="n">
        <v>3053343.35</v>
      </c>
      <c r="J101" s="9" t="n">
        <v>259791.81</v>
      </c>
      <c r="K101" s="9" t="n">
        <v>876537.39</v>
      </c>
      <c r="L101" s="8" t="n">
        <v>380</v>
      </c>
      <c r="M101" s="8" t="n">
        <v>3150</v>
      </c>
      <c r="N101" s="10" t="n">
        <v>20.92</v>
      </c>
    </row>
    <row r="102" customFormat="false" ht="15" hidden="false" customHeight="false" outlineLevel="0" collapsed="false">
      <c r="A102" s="8" t="s">
        <v>70</v>
      </c>
      <c r="B102" s="8" t="s">
        <v>71</v>
      </c>
      <c r="C102" s="8" t="s">
        <v>72</v>
      </c>
      <c r="D102" s="8" t="s">
        <v>73</v>
      </c>
      <c r="E102" s="8" t="n">
        <v>2020</v>
      </c>
      <c r="F102" s="8" t="s">
        <v>36</v>
      </c>
      <c r="G102" s="8" t="s">
        <v>37</v>
      </c>
      <c r="H102" s="9" t="n">
        <v>5933628.91</v>
      </c>
      <c r="I102" s="9" t="n">
        <v>4159041.06</v>
      </c>
      <c r="J102" s="9" t="n">
        <v>353875.04</v>
      </c>
      <c r="K102" s="9" t="n">
        <v>1420712.81</v>
      </c>
      <c r="L102" s="8" t="n">
        <v>98</v>
      </c>
      <c r="M102" s="8" t="n">
        <v>4109</v>
      </c>
      <c r="N102" s="10" t="n">
        <v>23.94</v>
      </c>
    </row>
    <row r="103" customFormat="false" ht="15" hidden="false" customHeight="false" outlineLevel="0" collapsed="false">
      <c r="A103" s="8" t="s">
        <v>70</v>
      </c>
      <c r="B103" s="8" t="s">
        <v>71</v>
      </c>
      <c r="C103" s="8" t="s">
        <v>72</v>
      </c>
      <c r="D103" s="8" t="s">
        <v>73</v>
      </c>
      <c r="E103" s="8" t="n">
        <v>2020</v>
      </c>
      <c r="F103" s="8" t="s">
        <v>38</v>
      </c>
      <c r="G103" s="8" t="s">
        <v>39</v>
      </c>
      <c r="H103" s="9" t="n">
        <v>5932287.43</v>
      </c>
      <c r="I103" s="9" t="n">
        <v>3734122.57</v>
      </c>
      <c r="J103" s="9" t="n">
        <v>223346.59</v>
      </c>
      <c r="K103" s="9" t="n">
        <v>1974818.27</v>
      </c>
      <c r="L103" s="8" t="n">
        <v>98</v>
      </c>
      <c r="M103" s="8" t="n">
        <v>4986</v>
      </c>
      <c r="N103" s="10" t="n">
        <v>33.29</v>
      </c>
    </row>
    <row r="104" customFormat="false" ht="15" hidden="false" customHeight="false" outlineLevel="0" collapsed="false">
      <c r="A104" s="8" t="s">
        <v>70</v>
      </c>
      <c r="B104" s="8" t="s">
        <v>71</v>
      </c>
      <c r="C104" s="8" t="s">
        <v>72</v>
      </c>
      <c r="D104" s="8" t="s">
        <v>73</v>
      </c>
      <c r="E104" s="8" t="n">
        <v>2020</v>
      </c>
      <c r="F104" s="8" t="s">
        <v>40</v>
      </c>
      <c r="G104" s="8" t="s">
        <v>41</v>
      </c>
      <c r="H104" s="9" t="n">
        <v>6172600.74</v>
      </c>
      <c r="I104" s="9" t="n">
        <v>4134444.23</v>
      </c>
      <c r="J104" s="9" t="n">
        <v>450419.27</v>
      </c>
      <c r="K104" s="9" t="n">
        <v>1587737.24</v>
      </c>
      <c r="L104" s="8" t="n">
        <v>96</v>
      </c>
      <c r="M104" s="8" t="n">
        <v>4060</v>
      </c>
      <c r="N104" s="10" t="n">
        <v>25.72</v>
      </c>
    </row>
    <row r="105" customFormat="false" ht="15" hidden="false" customHeight="false" outlineLevel="0" collapsed="false">
      <c r="A105" s="8" t="s">
        <v>70</v>
      </c>
      <c r="B105" s="8" t="s">
        <v>71</v>
      </c>
      <c r="C105" s="8" t="s">
        <v>72</v>
      </c>
      <c r="D105" s="8" t="s">
        <v>73</v>
      </c>
      <c r="E105" s="8" t="n">
        <v>2020</v>
      </c>
      <c r="F105" s="8" t="s">
        <v>42</v>
      </c>
      <c r="G105" s="8" t="s">
        <v>43</v>
      </c>
      <c r="H105" s="9" t="n">
        <v>5162772.99</v>
      </c>
      <c r="I105" s="9" t="n">
        <v>2997868.84</v>
      </c>
      <c r="J105" s="9" t="n">
        <v>448319.72</v>
      </c>
      <c r="K105" s="9" t="n">
        <v>1716584.43</v>
      </c>
      <c r="L105" s="8" t="n">
        <v>99</v>
      </c>
      <c r="M105" s="8" t="n">
        <v>2806</v>
      </c>
      <c r="N105" s="10" t="n">
        <v>33.25</v>
      </c>
    </row>
    <row r="106" customFormat="false" ht="15" hidden="false" customHeight="false" outlineLevel="0" collapsed="false">
      <c r="A106" s="8" t="s">
        <v>70</v>
      </c>
      <c r="B106" s="8" t="s">
        <v>71</v>
      </c>
      <c r="C106" s="8" t="s">
        <v>72</v>
      </c>
      <c r="D106" s="8" t="s">
        <v>73</v>
      </c>
      <c r="E106" s="8" t="n">
        <v>2021</v>
      </c>
      <c r="F106" s="8" t="s">
        <v>36</v>
      </c>
      <c r="G106" s="8" t="s">
        <v>44</v>
      </c>
      <c r="H106" s="9" t="n">
        <v>7716230.18</v>
      </c>
      <c r="I106" s="9" t="n">
        <v>5661784.7</v>
      </c>
      <c r="J106" s="9" t="n">
        <v>278808.69</v>
      </c>
      <c r="K106" s="9" t="n">
        <v>1775636.79</v>
      </c>
      <c r="L106" s="8" t="n">
        <v>96</v>
      </c>
      <c r="M106" s="8" t="n">
        <v>5371</v>
      </c>
      <c r="N106" s="10" t="n">
        <v>23.01</v>
      </c>
    </row>
    <row r="107" customFormat="false" ht="15" hidden="false" customHeight="false" outlineLevel="0" collapsed="false">
      <c r="A107" s="8" t="s">
        <v>70</v>
      </c>
      <c r="B107" s="8" t="s">
        <v>71</v>
      </c>
      <c r="C107" s="8" t="s">
        <v>72</v>
      </c>
      <c r="D107" s="8" t="s">
        <v>73</v>
      </c>
      <c r="E107" s="8" t="n">
        <v>2021</v>
      </c>
      <c r="F107" s="8" t="s">
        <v>38</v>
      </c>
      <c r="G107" s="8" t="s">
        <v>45</v>
      </c>
      <c r="H107" s="9" t="n">
        <v>8376559.06</v>
      </c>
      <c r="I107" s="9" t="n">
        <v>5840881.21</v>
      </c>
      <c r="J107" s="9" t="n">
        <v>464462.11</v>
      </c>
      <c r="K107" s="9" t="n">
        <v>2071215.74</v>
      </c>
      <c r="L107" s="8" t="n">
        <v>98</v>
      </c>
      <c r="M107" s="8" t="n">
        <v>3385</v>
      </c>
      <c r="N107" s="10" t="n">
        <v>24.73</v>
      </c>
    </row>
    <row r="108" customFormat="false" ht="15" hidden="false" customHeight="false" outlineLevel="0" collapsed="false">
      <c r="A108" s="8" t="s">
        <v>70</v>
      </c>
      <c r="B108" s="8" t="s">
        <v>71</v>
      </c>
      <c r="C108" s="8" t="s">
        <v>72</v>
      </c>
      <c r="D108" s="8" t="s">
        <v>73</v>
      </c>
      <c r="E108" s="8" t="n">
        <v>2021</v>
      </c>
      <c r="F108" s="8" t="s">
        <v>40</v>
      </c>
      <c r="G108" s="8" t="s">
        <v>46</v>
      </c>
      <c r="H108" s="9" t="n">
        <v>7689659.08</v>
      </c>
      <c r="I108" s="9" t="n">
        <v>4708292.54</v>
      </c>
      <c r="J108" s="9" t="n">
        <v>383935.33</v>
      </c>
      <c r="K108" s="9" t="n">
        <v>2597431.21</v>
      </c>
      <c r="L108" s="8" t="n">
        <v>99</v>
      </c>
      <c r="M108" s="8" t="n">
        <v>5322</v>
      </c>
      <c r="N108" s="10" t="n">
        <v>33.78</v>
      </c>
    </row>
    <row r="109" customFormat="false" ht="15" hidden="false" customHeight="false" outlineLevel="0" collapsed="false">
      <c r="A109" s="8" t="s">
        <v>70</v>
      </c>
      <c r="B109" s="8" t="s">
        <v>71</v>
      </c>
      <c r="C109" s="8" t="s">
        <v>72</v>
      </c>
      <c r="D109" s="8" t="s">
        <v>73</v>
      </c>
      <c r="E109" s="8" t="n">
        <v>2021</v>
      </c>
      <c r="F109" s="8" t="s">
        <v>42</v>
      </c>
      <c r="G109" s="8" t="s">
        <v>47</v>
      </c>
      <c r="H109" s="9" t="n">
        <v>6482840.63</v>
      </c>
      <c r="I109" s="9" t="n">
        <v>4606516.54</v>
      </c>
      <c r="J109" s="9" t="n">
        <v>324867.04</v>
      </c>
      <c r="K109" s="9" t="n">
        <v>1551457.05</v>
      </c>
      <c r="L109" s="8" t="n">
        <v>97</v>
      </c>
      <c r="M109" s="8" t="n">
        <v>2742</v>
      </c>
      <c r="N109" s="10" t="n">
        <v>23.93</v>
      </c>
    </row>
    <row r="110" customFormat="false" ht="15" hidden="false" customHeight="false" outlineLevel="0" collapsed="false">
      <c r="A110" s="8" t="s">
        <v>70</v>
      </c>
      <c r="B110" s="8" t="s">
        <v>71</v>
      </c>
      <c r="C110" s="8" t="s">
        <v>72</v>
      </c>
      <c r="D110" s="8" t="s">
        <v>73</v>
      </c>
      <c r="E110" s="8" t="n">
        <v>2022</v>
      </c>
      <c r="F110" s="8" t="s">
        <v>36</v>
      </c>
      <c r="G110" s="8" t="s">
        <v>48</v>
      </c>
      <c r="H110" s="9" t="n">
        <v>6998229</v>
      </c>
      <c r="I110" s="9" t="n">
        <v>4670713.53</v>
      </c>
      <c r="J110" s="9" t="n">
        <v>595600.26</v>
      </c>
      <c r="K110" s="9" t="n">
        <v>1731915.21</v>
      </c>
      <c r="L110" s="8" t="n">
        <v>166</v>
      </c>
      <c r="M110" s="8" t="n">
        <v>6471</v>
      </c>
      <c r="N110" s="10" t="n">
        <v>24.75</v>
      </c>
    </row>
    <row r="111" customFormat="false" ht="15" hidden="false" customHeight="false" outlineLevel="0" collapsed="false">
      <c r="A111" s="8" t="s">
        <v>70</v>
      </c>
      <c r="B111" s="8" t="s">
        <v>71</v>
      </c>
      <c r="C111" s="8" t="s">
        <v>72</v>
      </c>
      <c r="D111" s="8" t="s">
        <v>73</v>
      </c>
      <c r="E111" s="8" t="n">
        <v>2022</v>
      </c>
      <c r="F111" s="8" t="s">
        <v>38</v>
      </c>
      <c r="G111" s="8" t="s">
        <v>49</v>
      </c>
      <c r="H111" s="9" t="n">
        <v>7597118.49</v>
      </c>
      <c r="I111" s="9" t="n">
        <v>4729045.05</v>
      </c>
      <c r="J111" s="9" t="n">
        <v>644925.12</v>
      </c>
      <c r="K111" s="9" t="n">
        <v>2223148.32</v>
      </c>
      <c r="L111" s="8" t="n">
        <v>99</v>
      </c>
      <c r="M111" s="8" t="n">
        <v>9239</v>
      </c>
      <c r="N111" s="10" t="n">
        <v>29.26</v>
      </c>
    </row>
    <row r="112" customFormat="false" ht="15" hidden="false" customHeight="false" outlineLevel="0" collapsed="false">
      <c r="A112" s="8" t="s">
        <v>70</v>
      </c>
      <c r="B112" s="8" t="s">
        <v>71</v>
      </c>
      <c r="C112" s="8" t="s">
        <v>72</v>
      </c>
      <c r="D112" s="8" t="s">
        <v>73</v>
      </c>
      <c r="E112" s="8" t="n">
        <v>2022</v>
      </c>
      <c r="F112" s="8" t="s">
        <v>40</v>
      </c>
      <c r="G112" s="8" t="s">
        <v>50</v>
      </c>
      <c r="H112" s="9" t="n">
        <v>7815807.46</v>
      </c>
      <c r="I112" s="9" t="n">
        <v>5169852.4</v>
      </c>
      <c r="J112" s="9" t="n">
        <v>449716.4</v>
      </c>
      <c r="K112" s="9" t="n">
        <v>2196238.66</v>
      </c>
      <c r="L112" s="8" t="n">
        <v>102</v>
      </c>
      <c r="M112" s="8" t="n">
        <v>7018</v>
      </c>
      <c r="N112" s="10" t="n">
        <v>28.1</v>
      </c>
    </row>
    <row r="113" customFormat="false" ht="15" hidden="false" customHeight="false" outlineLevel="0" collapsed="false">
      <c r="A113" s="8" t="s">
        <v>70</v>
      </c>
      <c r="B113" s="8" t="s">
        <v>71</v>
      </c>
      <c r="C113" s="8" t="s">
        <v>72</v>
      </c>
      <c r="D113" s="8" t="s">
        <v>73</v>
      </c>
      <c r="E113" s="8" t="n">
        <v>2022</v>
      </c>
      <c r="F113" s="8" t="s">
        <v>42</v>
      </c>
      <c r="G113" s="8" t="s">
        <v>51</v>
      </c>
      <c r="H113" s="9" t="n">
        <v>7459057.31</v>
      </c>
      <c r="I113" s="9" t="n">
        <v>4202546.98</v>
      </c>
      <c r="J113" s="9" t="n">
        <v>490232.38</v>
      </c>
      <c r="K113" s="9" t="n">
        <v>2766277.95</v>
      </c>
      <c r="L113" s="8" t="n">
        <v>104</v>
      </c>
      <c r="M113" s="8" t="n">
        <v>3205</v>
      </c>
      <c r="N113" s="10" t="n">
        <v>37.09</v>
      </c>
    </row>
    <row r="114" customFormat="false" ht="15" hidden="false" customHeight="false" outlineLevel="0" collapsed="false">
      <c r="A114" s="8" t="s">
        <v>70</v>
      </c>
      <c r="B114" s="8" t="s">
        <v>71</v>
      </c>
      <c r="C114" s="8" t="s">
        <v>72</v>
      </c>
      <c r="D114" s="8" t="s">
        <v>73</v>
      </c>
      <c r="E114" s="8" t="n">
        <v>2023</v>
      </c>
      <c r="F114" s="8" t="s">
        <v>36</v>
      </c>
      <c r="G114" s="8" t="s">
        <v>52</v>
      </c>
      <c r="H114" s="9" t="n">
        <v>8692796.91</v>
      </c>
      <c r="I114" s="9" t="n">
        <v>6129339.12</v>
      </c>
      <c r="J114" s="9" t="n">
        <v>295055.42</v>
      </c>
      <c r="K114" s="9" t="n">
        <v>2268402.37</v>
      </c>
      <c r="L114" s="8" t="n">
        <v>102</v>
      </c>
      <c r="M114" s="8" t="n">
        <v>5610</v>
      </c>
      <c r="N114" s="10" t="n">
        <v>26.1</v>
      </c>
    </row>
    <row r="115" customFormat="false" ht="15" hidden="false" customHeight="false" outlineLevel="0" collapsed="false">
      <c r="A115" s="8" t="s">
        <v>70</v>
      </c>
      <c r="B115" s="8" t="s">
        <v>71</v>
      </c>
      <c r="C115" s="8" t="s">
        <v>72</v>
      </c>
      <c r="D115" s="8" t="s">
        <v>73</v>
      </c>
      <c r="E115" s="8" t="n">
        <v>2023</v>
      </c>
      <c r="F115" s="8" t="s">
        <v>38</v>
      </c>
      <c r="G115" s="8" t="s">
        <v>53</v>
      </c>
      <c r="H115" s="9" t="n">
        <v>7240091.16</v>
      </c>
      <c r="I115" s="9" t="n">
        <v>5090299.99</v>
      </c>
      <c r="J115" s="9" t="n">
        <v>433107.44</v>
      </c>
      <c r="K115" s="9" t="n">
        <v>1716683.73</v>
      </c>
      <c r="L115" s="8" t="n">
        <v>101</v>
      </c>
      <c r="M115" s="8" t="n">
        <v>7798</v>
      </c>
      <c r="N115" s="10" t="n">
        <v>23.71</v>
      </c>
    </row>
    <row r="116" customFormat="false" ht="15" hidden="false" customHeight="false" outlineLevel="0" collapsed="false">
      <c r="A116" s="8" t="s">
        <v>70</v>
      </c>
      <c r="B116" s="8" t="s">
        <v>71</v>
      </c>
      <c r="C116" s="8" t="s">
        <v>72</v>
      </c>
      <c r="D116" s="8" t="s">
        <v>73</v>
      </c>
      <c r="E116" s="8" t="n">
        <v>2023</v>
      </c>
      <c r="F116" s="8" t="s">
        <v>40</v>
      </c>
      <c r="G116" s="8" t="s">
        <v>54</v>
      </c>
      <c r="H116" s="9" t="n">
        <v>7214695.66</v>
      </c>
      <c r="I116" s="9" t="n">
        <v>4557861.14</v>
      </c>
      <c r="J116" s="9" t="n">
        <v>495216.51</v>
      </c>
      <c r="K116" s="9" t="n">
        <v>2161618.01</v>
      </c>
      <c r="L116" s="8" t="n">
        <v>104</v>
      </c>
      <c r="M116" s="8" t="n">
        <v>8527</v>
      </c>
      <c r="N116" s="10" t="n">
        <v>29.96</v>
      </c>
    </row>
    <row r="117" customFormat="false" ht="15" hidden="false" customHeight="false" outlineLevel="0" collapsed="false">
      <c r="A117" s="8" t="s">
        <v>70</v>
      </c>
      <c r="B117" s="8" t="s">
        <v>71</v>
      </c>
      <c r="C117" s="8" t="s">
        <v>72</v>
      </c>
      <c r="D117" s="8" t="s">
        <v>73</v>
      </c>
      <c r="E117" s="8" t="n">
        <v>2023</v>
      </c>
      <c r="F117" s="8" t="s">
        <v>42</v>
      </c>
      <c r="G117" s="8" t="s">
        <v>55</v>
      </c>
      <c r="H117" s="9" t="n">
        <v>7622424.39</v>
      </c>
      <c r="I117" s="9" t="n">
        <v>4491304.87</v>
      </c>
      <c r="J117" s="9" t="n">
        <v>344787.51</v>
      </c>
      <c r="K117" s="9" t="n">
        <v>2786332.01</v>
      </c>
      <c r="L117" s="8" t="n">
        <v>105</v>
      </c>
      <c r="M117" s="8" t="n">
        <v>5536</v>
      </c>
      <c r="N117" s="10" t="n">
        <v>36.55</v>
      </c>
    </row>
    <row r="118" customFormat="false" ht="15" hidden="false" customHeight="false" outlineLevel="0" collapsed="false">
      <c r="A118" s="8" t="s">
        <v>70</v>
      </c>
      <c r="B118" s="8" t="s">
        <v>71</v>
      </c>
      <c r="C118" s="8" t="s">
        <v>72</v>
      </c>
      <c r="D118" s="8" t="s">
        <v>73</v>
      </c>
      <c r="E118" s="8" t="n">
        <v>2024</v>
      </c>
      <c r="F118" s="8" t="s">
        <v>36</v>
      </c>
      <c r="G118" s="8" t="s">
        <v>56</v>
      </c>
      <c r="H118" s="9" t="n">
        <v>8014853.57</v>
      </c>
      <c r="I118" s="9" t="n">
        <v>4567571.11</v>
      </c>
      <c r="J118" s="9" t="n">
        <v>419757.03</v>
      </c>
      <c r="K118" s="9" t="n">
        <v>3027525.43</v>
      </c>
      <c r="L118" s="8" t="n">
        <v>104</v>
      </c>
      <c r="M118" s="8" t="n">
        <v>3554</v>
      </c>
      <c r="N118" s="10" t="n">
        <v>37.77</v>
      </c>
    </row>
    <row r="119" customFormat="false" ht="15" hidden="false" customHeight="false" outlineLevel="0" collapsed="false">
      <c r="A119" s="8" t="s">
        <v>70</v>
      </c>
      <c r="B119" s="8" t="s">
        <v>71</v>
      </c>
      <c r="C119" s="8" t="s">
        <v>72</v>
      </c>
      <c r="D119" s="8" t="s">
        <v>73</v>
      </c>
      <c r="E119" s="8" t="n">
        <v>2024</v>
      </c>
      <c r="F119" s="8" t="s">
        <v>38</v>
      </c>
      <c r="G119" s="8" t="s">
        <v>57</v>
      </c>
      <c r="H119" s="9" t="n">
        <v>8077824.2</v>
      </c>
      <c r="I119" s="9" t="n">
        <v>5968558.46</v>
      </c>
      <c r="J119" s="9" t="n">
        <v>708901.44</v>
      </c>
      <c r="K119" s="9" t="n">
        <v>1400364.3</v>
      </c>
      <c r="L119" s="8" t="n">
        <v>102</v>
      </c>
      <c r="M119" s="8" t="n">
        <v>5980</v>
      </c>
      <c r="N119" s="10" t="n">
        <v>17.34</v>
      </c>
    </row>
    <row r="120" customFormat="false" ht="15" hidden="false" customHeight="false" outlineLevel="0" collapsed="false">
      <c r="A120" s="8" t="s">
        <v>70</v>
      </c>
      <c r="B120" s="8" t="s">
        <v>71</v>
      </c>
      <c r="C120" s="8" t="s">
        <v>72</v>
      </c>
      <c r="D120" s="8" t="s">
        <v>73</v>
      </c>
      <c r="E120" s="8" t="n">
        <v>2024</v>
      </c>
      <c r="F120" s="8" t="s">
        <v>40</v>
      </c>
      <c r="G120" s="8" t="s">
        <v>58</v>
      </c>
      <c r="H120" s="9" t="n">
        <v>8006403.9</v>
      </c>
      <c r="I120" s="9" t="n">
        <v>5832940.2</v>
      </c>
      <c r="J120" s="9" t="n">
        <v>442637.83</v>
      </c>
      <c r="K120" s="9" t="n">
        <v>1730825.87</v>
      </c>
      <c r="L120" s="8" t="n">
        <v>100</v>
      </c>
      <c r="M120" s="8" t="n">
        <v>6451</v>
      </c>
      <c r="N120" s="10" t="n">
        <v>21.62</v>
      </c>
    </row>
    <row r="121" customFormat="false" ht="15" hidden="false" customHeight="false" outlineLevel="0" collapsed="false">
      <c r="A121" s="8" t="s">
        <v>70</v>
      </c>
      <c r="B121" s="8" t="s">
        <v>71</v>
      </c>
      <c r="C121" s="8" t="s">
        <v>72</v>
      </c>
      <c r="D121" s="8" t="s">
        <v>73</v>
      </c>
      <c r="E121" s="8" t="n">
        <v>2024</v>
      </c>
      <c r="F121" s="8" t="s">
        <v>42</v>
      </c>
      <c r="G121" s="8" t="s">
        <v>59</v>
      </c>
      <c r="H121" s="9" t="n">
        <v>7656455.73</v>
      </c>
      <c r="I121" s="9" t="n">
        <v>4263463.86</v>
      </c>
      <c r="J121" s="9" t="n">
        <v>396478.48</v>
      </c>
      <c r="K121" s="9" t="n">
        <v>2996513.39</v>
      </c>
      <c r="L121" s="8" t="n">
        <v>97</v>
      </c>
      <c r="M121" s="8" t="n">
        <v>3619</v>
      </c>
      <c r="N121" s="10" t="n">
        <v>39.14</v>
      </c>
    </row>
    <row r="122" customFormat="false" ht="15" hidden="false" customHeight="false" outlineLevel="0" collapsed="false">
      <c r="A122" s="8" t="s">
        <v>74</v>
      </c>
      <c r="B122" s="8" t="s">
        <v>75</v>
      </c>
      <c r="C122" s="8" t="s">
        <v>72</v>
      </c>
      <c r="D122" s="8" t="s">
        <v>65</v>
      </c>
      <c r="E122" s="8" t="n">
        <v>2020</v>
      </c>
      <c r="F122" s="8" t="s">
        <v>36</v>
      </c>
      <c r="G122" s="8" t="s">
        <v>37</v>
      </c>
      <c r="H122" s="9" t="n">
        <v>4674106.46</v>
      </c>
      <c r="I122" s="9" t="n">
        <v>2968257.19</v>
      </c>
      <c r="J122" s="9" t="n">
        <v>364539.71</v>
      </c>
      <c r="K122" s="9" t="n">
        <v>1341309.56</v>
      </c>
      <c r="L122" s="8" t="n">
        <v>170</v>
      </c>
      <c r="M122" s="8" t="n">
        <v>3774</v>
      </c>
      <c r="N122" s="10" t="n">
        <v>28.7</v>
      </c>
    </row>
    <row r="123" customFormat="false" ht="15" hidden="false" customHeight="false" outlineLevel="0" collapsed="false">
      <c r="A123" s="8" t="s">
        <v>74</v>
      </c>
      <c r="B123" s="8" t="s">
        <v>75</v>
      </c>
      <c r="C123" s="8" t="s">
        <v>72</v>
      </c>
      <c r="D123" s="8" t="s">
        <v>65</v>
      </c>
      <c r="E123" s="8" t="n">
        <v>2020</v>
      </c>
      <c r="F123" s="8" t="s">
        <v>38</v>
      </c>
      <c r="G123" s="8" t="s">
        <v>39</v>
      </c>
      <c r="H123" s="9" t="n">
        <v>4994587.63</v>
      </c>
      <c r="I123" s="9" t="n">
        <v>3168270.65</v>
      </c>
      <c r="J123" s="9" t="n">
        <v>343144.4</v>
      </c>
      <c r="K123" s="9" t="n">
        <v>1483172.58</v>
      </c>
      <c r="L123" s="8" t="n">
        <v>171</v>
      </c>
      <c r="M123" s="8" t="n">
        <v>2271</v>
      </c>
      <c r="N123" s="10" t="n">
        <v>29.7</v>
      </c>
    </row>
    <row r="124" customFormat="false" ht="15" hidden="false" customHeight="false" outlineLevel="0" collapsed="false">
      <c r="A124" s="8" t="s">
        <v>74</v>
      </c>
      <c r="B124" s="8" t="s">
        <v>75</v>
      </c>
      <c r="C124" s="8" t="s">
        <v>72</v>
      </c>
      <c r="D124" s="8" t="s">
        <v>65</v>
      </c>
      <c r="E124" s="8" t="n">
        <v>2020</v>
      </c>
      <c r="F124" s="8" t="s">
        <v>40</v>
      </c>
      <c r="G124" s="8" t="s">
        <v>41</v>
      </c>
      <c r="H124" s="9" t="n">
        <v>4489155.43</v>
      </c>
      <c r="I124" s="9" t="n">
        <v>2832879.82</v>
      </c>
      <c r="J124" s="9" t="n">
        <v>152768.31</v>
      </c>
      <c r="K124" s="9" t="n">
        <v>1503507.3</v>
      </c>
      <c r="L124" s="8" t="n">
        <v>173</v>
      </c>
      <c r="M124" s="8" t="n">
        <v>4575</v>
      </c>
      <c r="N124" s="10" t="n">
        <v>33.49</v>
      </c>
    </row>
    <row r="125" customFormat="false" ht="15" hidden="false" customHeight="false" outlineLevel="0" collapsed="false">
      <c r="A125" s="8" t="s">
        <v>74</v>
      </c>
      <c r="B125" s="8" t="s">
        <v>75</v>
      </c>
      <c r="C125" s="8" t="s">
        <v>72</v>
      </c>
      <c r="D125" s="8" t="s">
        <v>65</v>
      </c>
      <c r="E125" s="8" t="n">
        <v>2020</v>
      </c>
      <c r="F125" s="8" t="s">
        <v>42</v>
      </c>
      <c r="G125" s="8" t="s">
        <v>43</v>
      </c>
      <c r="H125" s="9" t="n">
        <v>4142895.31</v>
      </c>
      <c r="I125" s="9" t="n">
        <v>3024329.02</v>
      </c>
      <c r="J125" s="9" t="n">
        <v>158313.03</v>
      </c>
      <c r="K125" s="9" t="n">
        <v>960253.26</v>
      </c>
      <c r="L125" s="8" t="n">
        <v>170</v>
      </c>
      <c r="M125" s="8" t="n">
        <v>2275</v>
      </c>
      <c r="N125" s="10" t="n">
        <v>23.18</v>
      </c>
    </row>
    <row r="126" customFormat="false" ht="15" hidden="false" customHeight="false" outlineLevel="0" collapsed="false">
      <c r="A126" s="8" t="s">
        <v>74</v>
      </c>
      <c r="B126" s="8" t="s">
        <v>75</v>
      </c>
      <c r="C126" s="8" t="s">
        <v>72</v>
      </c>
      <c r="D126" s="8" t="s">
        <v>65</v>
      </c>
      <c r="E126" s="8" t="n">
        <v>2021</v>
      </c>
      <c r="F126" s="8" t="s">
        <v>36</v>
      </c>
      <c r="G126" s="8" t="s">
        <v>44</v>
      </c>
      <c r="H126" s="9" t="n">
        <v>6601716.18</v>
      </c>
      <c r="I126" s="9" t="n">
        <v>4164866.28</v>
      </c>
      <c r="J126" s="9" t="n">
        <v>530028.14</v>
      </c>
      <c r="K126" s="9" t="n">
        <v>1906821.76</v>
      </c>
      <c r="L126" s="8" t="n">
        <v>172</v>
      </c>
      <c r="M126" s="8" t="n">
        <v>4710</v>
      </c>
      <c r="N126" s="10" t="n">
        <v>28.88</v>
      </c>
    </row>
    <row r="127" customFormat="false" ht="15" hidden="false" customHeight="false" outlineLevel="0" collapsed="false">
      <c r="A127" s="8" t="s">
        <v>74</v>
      </c>
      <c r="B127" s="8" t="s">
        <v>75</v>
      </c>
      <c r="C127" s="8" t="s">
        <v>72</v>
      </c>
      <c r="D127" s="8" t="s">
        <v>65</v>
      </c>
      <c r="E127" s="8" t="n">
        <v>2021</v>
      </c>
      <c r="F127" s="8" t="s">
        <v>38</v>
      </c>
      <c r="G127" s="8" t="s">
        <v>45</v>
      </c>
      <c r="H127" s="9" t="n">
        <v>6746001.35</v>
      </c>
      <c r="I127" s="9" t="n">
        <v>3822012.73</v>
      </c>
      <c r="J127" s="9" t="n">
        <v>501106.59</v>
      </c>
      <c r="K127" s="9" t="n">
        <v>2422882.03</v>
      </c>
      <c r="L127" s="8" t="n">
        <v>171</v>
      </c>
      <c r="M127" s="8" t="n">
        <v>4614</v>
      </c>
      <c r="N127" s="10" t="n">
        <v>35.92</v>
      </c>
    </row>
    <row r="128" customFormat="false" ht="15" hidden="false" customHeight="false" outlineLevel="0" collapsed="false">
      <c r="A128" s="8" t="s">
        <v>74</v>
      </c>
      <c r="B128" s="8" t="s">
        <v>75</v>
      </c>
      <c r="C128" s="8" t="s">
        <v>72</v>
      </c>
      <c r="D128" s="8" t="s">
        <v>65</v>
      </c>
      <c r="E128" s="8" t="n">
        <v>2021</v>
      </c>
      <c r="F128" s="8" t="s">
        <v>40</v>
      </c>
      <c r="G128" s="8" t="s">
        <v>46</v>
      </c>
      <c r="H128" s="9" t="n">
        <v>6236519.47</v>
      </c>
      <c r="I128" s="9" t="n">
        <v>4136564.42</v>
      </c>
      <c r="J128" s="9" t="n">
        <v>298275.91</v>
      </c>
      <c r="K128" s="9" t="n">
        <v>1801679.14</v>
      </c>
      <c r="L128" s="8" t="n">
        <v>172</v>
      </c>
      <c r="M128" s="8" t="n">
        <v>2606</v>
      </c>
      <c r="N128" s="10" t="n">
        <v>28.89</v>
      </c>
    </row>
    <row r="129" customFormat="false" ht="15" hidden="false" customHeight="false" outlineLevel="0" collapsed="false">
      <c r="A129" s="8" t="s">
        <v>74</v>
      </c>
      <c r="B129" s="8" t="s">
        <v>75</v>
      </c>
      <c r="C129" s="8" t="s">
        <v>72</v>
      </c>
      <c r="D129" s="8" t="s">
        <v>65</v>
      </c>
      <c r="E129" s="8" t="n">
        <v>2021</v>
      </c>
      <c r="F129" s="8" t="s">
        <v>42</v>
      </c>
      <c r="G129" s="8" t="s">
        <v>47</v>
      </c>
      <c r="H129" s="9" t="n">
        <v>5314964.68</v>
      </c>
      <c r="I129" s="9" t="n">
        <v>3210144.3</v>
      </c>
      <c r="J129" s="9" t="n">
        <v>313717.37</v>
      </c>
      <c r="K129" s="9" t="n">
        <v>1791103.01</v>
      </c>
      <c r="L129" s="8" t="n">
        <v>169</v>
      </c>
      <c r="M129" s="8" t="n">
        <v>2382</v>
      </c>
      <c r="N129" s="10" t="n">
        <v>33.7</v>
      </c>
    </row>
    <row r="130" customFormat="false" ht="15" hidden="false" customHeight="false" outlineLevel="0" collapsed="false">
      <c r="A130" s="8" t="s">
        <v>74</v>
      </c>
      <c r="B130" s="8" t="s">
        <v>75</v>
      </c>
      <c r="C130" s="8" t="s">
        <v>72</v>
      </c>
      <c r="D130" s="8" t="s">
        <v>65</v>
      </c>
      <c r="E130" s="8" t="n">
        <v>2022</v>
      </c>
      <c r="F130" s="8" t="s">
        <v>36</v>
      </c>
      <c r="G130" s="8" t="s">
        <v>48</v>
      </c>
      <c r="H130" s="9" t="n">
        <v>6642216.22</v>
      </c>
      <c r="I130" s="9" t="n">
        <v>4677332.03</v>
      </c>
      <c r="J130" s="9" t="n">
        <v>332473.7</v>
      </c>
      <c r="K130" s="9" t="n">
        <v>1632410.49</v>
      </c>
      <c r="L130" s="8" t="n">
        <v>167</v>
      </c>
      <c r="M130" s="8" t="n">
        <v>3371</v>
      </c>
      <c r="N130" s="10" t="n">
        <v>24.58</v>
      </c>
    </row>
    <row r="131" customFormat="false" ht="15" hidden="false" customHeight="false" outlineLevel="0" collapsed="false">
      <c r="A131" s="8" t="s">
        <v>74</v>
      </c>
      <c r="B131" s="8" t="s">
        <v>75</v>
      </c>
      <c r="C131" s="8" t="s">
        <v>72</v>
      </c>
      <c r="D131" s="8" t="s">
        <v>65</v>
      </c>
      <c r="E131" s="8" t="n">
        <v>2022</v>
      </c>
      <c r="F131" s="8" t="s">
        <v>38</v>
      </c>
      <c r="G131" s="8" t="s">
        <v>49</v>
      </c>
      <c r="H131" s="9" t="n">
        <v>6948579.01</v>
      </c>
      <c r="I131" s="9" t="n">
        <v>3927244.32</v>
      </c>
      <c r="J131" s="9" t="n">
        <v>400105.37</v>
      </c>
      <c r="K131" s="9" t="n">
        <v>2621229.32</v>
      </c>
      <c r="L131" s="8" t="n">
        <v>164</v>
      </c>
      <c r="M131" s="8" t="n">
        <v>3198</v>
      </c>
      <c r="N131" s="10" t="n">
        <v>37.72</v>
      </c>
    </row>
    <row r="132" customFormat="false" ht="15" hidden="false" customHeight="false" outlineLevel="0" collapsed="false">
      <c r="A132" s="8" t="s">
        <v>74</v>
      </c>
      <c r="B132" s="8" t="s">
        <v>75</v>
      </c>
      <c r="C132" s="8" t="s">
        <v>72</v>
      </c>
      <c r="D132" s="8" t="s">
        <v>65</v>
      </c>
      <c r="E132" s="8" t="n">
        <v>2022</v>
      </c>
      <c r="F132" s="8" t="s">
        <v>40</v>
      </c>
      <c r="G132" s="8" t="s">
        <v>50</v>
      </c>
      <c r="H132" s="9" t="n">
        <v>5541348.13</v>
      </c>
      <c r="I132" s="9" t="n">
        <v>4015200.83</v>
      </c>
      <c r="J132" s="9" t="n">
        <v>346412.15</v>
      </c>
      <c r="K132" s="9" t="n">
        <v>1179735.15</v>
      </c>
      <c r="L132" s="8" t="n">
        <v>166</v>
      </c>
      <c r="M132" s="8" t="n">
        <v>2886</v>
      </c>
      <c r="N132" s="10" t="n">
        <v>21.29</v>
      </c>
    </row>
    <row r="133" customFormat="false" ht="15" hidden="false" customHeight="false" outlineLevel="0" collapsed="false">
      <c r="A133" s="8" t="s">
        <v>74</v>
      </c>
      <c r="B133" s="8" t="s">
        <v>75</v>
      </c>
      <c r="C133" s="8" t="s">
        <v>72</v>
      </c>
      <c r="D133" s="8" t="s">
        <v>65</v>
      </c>
      <c r="E133" s="8" t="n">
        <v>2022</v>
      </c>
      <c r="F133" s="8" t="s">
        <v>42</v>
      </c>
      <c r="G133" s="8" t="s">
        <v>51</v>
      </c>
      <c r="H133" s="9" t="n">
        <v>5648033.53</v>
      </c>
      <c r="I133" s="9" t="n">
        <v>4214084.57</v>
      </c>
      <c r="J133" s="9" t="n">
        <v>385387.33</v>
      </c>
      <c r="K133" s="9" t="n">
        <v>1048561.63</v>
      </c>
      <c r="L133" s="8" t="n">
        <v>163</v>
      </c>
      <c r="M133" s="8" t="n">
        <v>2854</v>
      </c>
      <c r="N133" s="10" t="n">
        <v>18.57</v>
      </c>
    </row>
    <row r="134" customFormat="false" ht="15" hidden="false" customHeight="false" outlineLevel="0" collapsed="false">
      <c r="A134" s="8" t="s">
        <v>74</v>
      </c>
      <c r="B134" s="8" t="s">
        <v>75</v>
      </c>
      <c r="C134" s="8" t="s">
        <v>72</v>
      </c>
      <c r="D134" s="8" t="s">
        <v>65</v>
      </c>
      <c r="E134" s="8" t="n">
        <v>2023</v>
      </c>
      <c r="F134" s="8" t="s">
        <v>36</v>
      </c>
      <c r="G134" s="8" t="s">
        <v>52</v>
      </c>
      <c r="H134" s="9" t="n">
        <v>6105690.27</v>
      </c>
      <c r="I134" s="9" t="n">
        <v>4051669.18</v>
      </c>
      <c r="J134" s="9" t="n">
        <v>249322.94</v>
      </c>
      <c r="K134" s="9" t="n">
        <v>1804698.15</v>
      </c>
      <c r="L134" s="8" t="n">
        <v>161</v>
      </c>
      <c r="M134" s="8" t="n">
        <v>2574</v>
      </c>
      <c r="N134" s="10" t="n">
        <v>29.56</v>
      </c>
    </row>
    <row r="135" customFormat="false" ht="15" hidden="false" customHeight="false" outlineLevel="0" collapsed="false">
      <c r="A135" s="8" t="s">
        <v>74</v>
      </c>
      <c r="B135" s="8" t="s">
        <v>75</v>
      </c>
      <c r="C135" s="8" t="s">
        <v>72</v>
      </c>
      <c r="D135" s="8" t="s">
        <v>65</v>
      </c>
      <c r="E135" s="8" t="n">
        <v>2023</v>
      </c>
      <c r="F135" s="8" t="s">
        <v>38</v>
      </c>
      <c r="G135" s="8" t="s">
        <v>53</v>
      </c>
      <c r="H135" s="9" t="n">
        <v>6820888.91</v>
      </c>
      <c r="I135" s="9" t="n">
        <v>4836476.56</v>
      </c>
      <c r="J135" s="9" t="n">
        <v>377234.44</v>
      </c>
      <c r="K135" s="9" t="n">
        <v>1607177.91</v>
      </c>
      <c r="L135" s="8" t="n">
        <v>163</v>
      </c>
      <c r="M135" s="8" t="n">
        <v>3598</v>
      </c>
      <c r="N135" s="10" t="n">
        <v>23.56</v>
      </c>
    </row>
    <row r="136" customFormat="false" ht="15" hidden="false" customHeight="false" outlineLevel="0" collapsed="false">
      <c r="A136" s="8" t="s">
        <v>74</v>
      </c>
      <c r="B136" s="8" t="s">
        <v>75</v>
      </c>
      <c r="C136" s="8" t="s">
        <v>72</v>
      </c>
      <c r="D136" s="8" t="s">
        <v>65</v>
      </c>
      <c r="E136" s="8" t="n">
        <v>2023</v>
      </c>
      <c r="F136" s="8" t="s">
        <v>40</v>
      </c>
      <c r="G136" s="8" t="s">
        <v>54</v>
      </c>
      <c r="H136" s="9" t="n">
        <v>5599098.18</v>
      </c>
      <c r="I136" s="9" t="n">
        <v>3165677.71</v>
      </c>
      <c r="J136" s="9" t="n">
        <v>208476.9</v>
      </c>
      <c r="K136" s="9" t="n">
        <v>2224943.57</v>
      </c>
      <c r="L136" s="8" t="n">
        <v>163</v>
      </c>
      <c r="M136" s="8" t="n">
        <v>2755</v>
      </c>
      <c r="N136" s="10" t="n">
        <v>39.74</v>
      </c>
    </row>
    <row r="137" customFormat="false" ht="15" hidden="false" customHeight="false" outlineLevel="0" collapsed="false">
      <c r="A137" s="8" t="s">
        <v>74</v>
      </c>
      <c r="B137" s="8" t="s">
        <v>75</v>
      </c>
      <c r="C137" s="8" t="s">
        <v>72</v>
      </c>
      <c r="D137" s="8" t="s">
        <v>65</v>
      </c>
      <c r="E137" s="8" t="n">
        <v>2023</v>
      </c>
      <c r="F137" s="8" t="s">
        <v>42</v>
      </c>
      <c r="G137" s="8" t="s">
        <v>55</v>
      </c>
      <c r="H137" s="9" t="n">
        <v>5916547.18</v>
      </c>
      <c r="I137" s="9" t="n">
        <v>4205454.5</v>
      </c>
      <c r="J137" s="9" t="n">
        <v>380704.17</v>
      </c>
      <c r="K137" s="9" t="n">
        <v>1330388.51</v>
      </c>
      <c r="L137" s="8" t="n">
        <v>160</v>
      </c>
      <c r="M137" s="8" t="n">
        <v>2880</v>
      </c>
      <c r="N137" s="10" t="n">
        <v>22.49</v>
      </c>
    </row>
    <row r="138" customFormat="false" ht="15" hidden="false" customHeight="false" outlineLevel="0" collapsed="false">
      <c r="A138" s="8" t="s">
        <v>74</v>
      </c>
      <c r="B138" s="8" t="s">
        <v>75</v>
      </c>
      <c r="C138" s="8" t="s">
        <v>72</v>
      </c>
      <c r="D138" s="8" t="s">
        <v>65</v>
      </c>
      <c r="E138" s="8" t="n">
        <v>2024</v>
      </c>
      <c r="F138" s="8" t="s">
        <v>36</v>
      </c>
      <c r="G138" s="8" t="s">
        <v>56</v>
      </c>
      <c r="H138" s="9" t="n">
        <v>6148473.38</v>
      </c>
      <c r="I138" s="9" t="n">
        <v>3411665.87</v>
      </c>
      <c r="J138" s="9" t="n">
        <v>270394.91</v>
      </c>
      <c r="K138" s="9" t="n">
        <v>2466412.6</v>
      </c>
      <c r="L138" s="8" t="n">
        <v>159</v>
      </c>
      <c r="M138" s="8" t="n">
        <v>2565</v>
      </c>
      <c r="N138" s="10" t="n">
        <v>40.11</v>
      </c>
    </row>
    <row r="139" customFormat="false" ht="15" hidden="false" customHeight="false" outlineLevel="0" collapsed="false">
      <c r="A139" s="8" t="s">
        <v>74</v>
      </c>
      <c r="B139" s="8" t="s">
        <v>75</v>
      </c>
      <c r="C139" s="8" t="s">
        <v>72</v>
      </c>
      <c r="D139" s="8" t="s">
        <v>65</v>
      </c>
      <c r="E139" s="8" t="n">
        <v>2024</v>
      </c>
      <c r="F139" s="8" t="s">
        <v>38</v>
      </c>
      <c r="G139" s="8" t="s">
        <v>57</v>
      </c>
      <c r="H139" s="9" t="n">
        <v>6927833.37</v>
      </c>
      <c r="I139" s="9" t="n">
        <v>3823451.05</v>
      </c>
      <c r="J139" s="9" t="n">
        <v>236944.25</v>
      </c>
      <c r="K139" s="9" t="n">
        <v>2867438.07</v>
      </c>
      <c r="L139" s="8" t="n">
        <v>159</v>
      </c>
      <c r="M139" s="8" t="n">
        <v>3876</v>
      </c>
      <c r="N139" s="10" t="n">
        <v>41.39</v>
      </c>
    </row>
    <row r="140" customFormat="false" ht="15" hidden="false" customHeight="false" outlineLevel="0" collapsed="false">
      <c r="A140" s="8" t="s">
        <v>74</v>
      </c>
      <c r="B140" s="8" t="s">
        <v>75</v>
      </c>
      <c r="C140" s="8" t="s">
        <v>72</v>
      </c>
      <c r="D140" s="8" t="s">
        <v>65</v>
      </c>
      <c r="E140" s="8" t="n">
        <v>2024</v>
      </c>
      <c r="F140" s="8" t="s">
        <v>40</v>
      </c>
      <c r="G140" s="8" t="s">
        <v>58</v>
      </c>
      <c r="H140" s="9" t="n">
        <v>5598996.33</v>
      </c>
      <c r="I140" s="9" t="n">
        <v>3346830.46</v>
      </c>
      <c r="J140" s="9" t="n">
        <v>415753.13</v>
      </c>
      <c r="K140" s="9" t="n">
        <v>1836412.74</v>
      </c>
      <c r="L140" s="8" t="n">
        <v>159</v>
      </c>
      <c r="M140" s="8" t="n">
        <v>4346</v>
      </c>
      <c r="N140" s="10" t="n">
        <v>32.8</v>
      </c>
    </row>
    <row r="141" customFormat="false" ht="15" hidden="false" customHeight="false" outlineLevel="0" collapsed="false">
      <c r="A141" s="8" t="s">
        <v>74</v>
      </c>
      <c r="B141" s="8" t="s">
        <v>75</v>
      </c>
      <c r="C141" s="8" t="s">
        <v>72</v>
      </c>
      <c r="D141" s="8" t="s">
        <v>65</v>
      </c>
      <c r="E141" s="8" t="n">
        <v>2024</v>
      </c>
      <c r="F141" s="8" t="s">
        <v>42</v>
      </c>
      <c r="G141" s="8" t="s">
        <v>59</v>
      </c>
      <c r="H141" s="9" t="n">
        <v>5417940.01</v>
      </c>
      <c r="I141" s="9" t="n">
        <v>3618217.94</v>
      </c>
      <c r="J141" s="9" t="n">
        <v>395147.7</v>
      </c>
      <c r="K141" s="9" t="n">
        <v>1404574.37</v>
      </c>
      <c r="L141" s="8" t="n">
        <v>162</v>
      </c>
      <c r="M141" s="8" t="n">
        <v>6180</v>
      </c>
      <c r="N141" s="10" t="n">
        <v>25.92</v>
      </c>
    </row>
    <row r="142" customFormat="false" ht="15" hidden="false" customHeight="false" outlineLevel="0" collapsed="false">
      <c r="A142" s="8" t="s">
        <v>76</v>
      </c>
      <c r="B142" s="8" t="s">
        <v>77</v>
      </c>
      <c r="C142" s="8" t="s">
        <v>72</v>
      </c>
      <c r="D142" s="8" t="s">
        <v>65</v>
      </c>
      <c r="E142" s="8" t="n">
        <v>2020</v>
      </c>
      <c r="F142" s="8" t="s">
        <v>36</v>
      </c>
      <c r="G142" s="8" t="s">
        <v>37</v>
      </c>
      <c r="H142" s="9" t="n">
        <v>4472645.6</v>
      </c>
      <c r="I142" s="9" t="n">
        <v>2878059.34</v>
      </c>
      <c r="J142" s="9" t="n">
        <v>387706.46</v>
      </c>
      <c r="K142" s="9" t="n">
        <v>1206879.8</v>
      </c>
      <c r="L142" s="8" t="n">
        <v>348</v>
      </c>
      <c r="M142" s="8" t="n">
        <v>1799</v>
      </c>
      <c r="N142" s="10" t="n">
        <v>26.98</v>
      </c>
    </row>
    <row r="143" customFormat="false" ht="15" hidden="false" customHeight="false" outlineLevel="0" collapsed="false">
      <c r="A143" s="8" t="s">
        <v>76</v>
      </c>
      <c r="B143" s="8" t="s">
        <v>77</v>
      </c>
      <c r="C143" s="8" t="s">
        <v>72</v>
      </c>
      <c r="D143" s="8" t="s">
        <v>65</v>
      </c>
      <c r="E143" s="8" t="n">
        <v>2020</v>
      </c>
      <c r="F143" s="8" t="s">
        <v>38</v>
      </c>
      <c r="G143" s="8" t="s">
        <v>39</v>
      </c>
      <c r="H143" s="9" t="n">
        <v>4709495.42</v>
      </c>
      <c r="I143" s="9" t="n">
        <v>3379369.77</v>
      </c>
      <c r="J143" s="9" t="n">
        <v>254759.28</v>
      </c>
      <c r="K143" s="9" t="n">
        <v>1075366.37</v>
      </c>
      <c r="L143" s="8" t="n">
        <v>347</v>
      </c>
      <c r="M143" s="8" t="n">
        <v>4688</v>
      </c>
      <c r="N143" s="10" t="n">
        <v>22.83</v>
      </c>
    </row>
    <row r="144" customFormat="false" ht="15" hidden="false" customHeight="false" outlineLevel="0" collapsed="false">
      <c r="A144" s="8" t="s">
        <v>76</v>
      </c>
      <c r="B144" s="8" t="s">
        <v>77</v>
      </c>
      <c r="C144" s="8" t="s">
        <v>72</v>
      </c>
      <c r="D144" s="8" t="s">
        <v>65</v>
      </c>
      <c r="E144" s="8" t="n">
        <v>2020</v>
      </c>
      <c r="F144" s="8" t="s">
        <v>40</v>
      </c>
      <c r="G144" s="8" t="s">
        <v>41</v>
      </c>
      <c r="H144" s="9" t="n">
        <v>4183739.05</v>
      </c>
      <c r="I144" s="9" t="n">
        <v>2953372.08</v>
      </c>
      <c r="J144" s="9" t="n">
        <v>172312.71</v>
      </c>
      <c r="K144" s="9" t="n">
        <v>1058054.26</v>
      </c>
      <c r="L144" s="8" t="n">
        <v>344</v>
      </c>
      <c r="M144" s="8" t="n">
        <v>1709</v>
      </c>
      <c r="N144" s="10" t="n">
        <v>25.29</v>
      </c>
    </row>
    <row r="145" customFormat="false" ht="15" hidden="false" customHeight="false" outlineLevel="0" collapsed="false">
      <c r="A145" s="8" t="s">
        <v>76</v>
      </c>
      <c r="B145" s="8" t="s">
        <v>77</v>
      </c>
      <c r="C145" s="8" t="s">
        <v>72</v>
      </c>
      <c r="D145" s="8" t="s">
        <v>65</v>
      </c>
      <c r="E145" s="8" t="n">
        <v>2020</v>
      </c>
      <c r="F145" s="8" t="s">
        <v>42</v>
      </c>
      <c r="G145" s="8" t="s">
        <v>43</v>
      </c>
      <c r="H145" s="9" t="n">
        <v>3932765.37</v>
      </c>
      <c r="I145" s="9" t="n">
        <v>2632808.71</v>
      </c>
      <c r="J145" s="9" t="n">
        <v>240274.75</v>
      </c>
      <c r="K145" s="9" t="n">
        <v>1059681.91</v>
      </c>
      <c r="L145" s="8" t="n">
        <v>342</v>
      </c>
      <c r="M145" s="8" t="n">
        <v>2346</v>
      </c>
      <c r="N145" s="10" t="n">
        <v>26.94</v>
      </c>
    </row>
    <row r="146" customFormat="false" ht="15" hidden="false" customHeight="false" outlineLevel="0" collapsed="false">
      <c r="A146" s="8" t="s">
        <v>76</v>
      </c>
      <c r="B146" s="8" t="s">
        <v>77</v>
      </c>
      <c r="C146" s="8" t="s">
        <v>72</v>
      </c>
      <c r="D146" s="8" t="s">
        <v>65</v>
      </c>
      <c r="E146" s="8" t="n">
        <v>2021</v>
      </c>
      <c r="F146" s="8" t="s">
        <v>36</v>
      </c>
      <c r="G146" s="8" t="s">
        <v>44</v>
      </c>
      <c r="H146" s="9" t="n">
        <v>5316745.99</v>
      </c>
      <c r="I146" s="9" t="n">
        <v>3162868.99</v>
      </c>
      <c r="J146" s="9" t="n">
        <v>419757.03</v>
      </c>
      <c r="K146" s="9" t="n">
        <v>1734119.97</v>
      </c>
      <c r="L146" s="8" t="n">
        <v>344</v>
      </c>
      <c r="M146" s="8" t="n">
        <v>2940</v>
      </c>
      <c r="N146" s="10" t="n">
        <v>32.62</v>
      </c>
    </row>
    <row r="147" customFormat="false" ht="15" hidden="false" customHeight="false" outlineLevel="0" collapsed="false">
      <c r="A147" s="8" t="s">
        <v>76</v>
      </c>
      <c r="B147" s="8" t="s">
        <v>77</v>
      </c>
      <c r="C147" s="8" t="s">
        <v>72</v>
      </c>
      <c r="D147" s="8" t="s">
        <v>65</v>
      </c>
      <c r="E147" s="8" t="n">
        <v>2021</v>
      </c>
      <c r="F147" s="8" t="s">
        <v>38</v>
      </c>
      <c r="G147" s="8" t="s">
        <v>45</v>
      </c>
      <c r="H147" s="9" t="n">
        <v>5558126.84</v>
      </c>
      <c r="I147" s="9" t="n">
        <v>3565462.89</v>
      </c>
      <c r="J147" s="9" t="n">
        <v>453585.44</v>
      </c>
      <c r="K147" s="9" t="n">
        <v>1539078.51</v>
      </c>
      <c r="L147" s="8" t="n">
        <v>343</v>
      </c>
      <c r="M147" s="8" t="n">
        <v>3451</v>
      </c>
      <c r="N147" s="10" t="n">
        <v>27.69</v>
      </c>
    </row>
    <row r="148" customFormat="false" ht="15" hidden="false" customHeight="false" outlineLevel="0" collapsed="false">
      <c r="A148" s="8" t="s">
        <v>76</v>
      </c>
      <c r="B148" s="8" t="s">
        <v>77</v>
      </c>
      <c r="C148" s="8" t="s">
        <v>72</v>
      </c>
      <c r="D148" s="8" t="s">
        <v>65</v>
      </c>
      <c r="E148" s="8" t="n">
        <v>2021</v>
      </c>
      <c r="F148" s="8" t="s">
        <v>40</v>
      </c>
      <c r="G148" s="8" t="s">
        <v>46</v>
      </c>
      <c r="H148" s="9" t="n">
        <v>5741200.34</v>
      </c>
      <c r="I148" s="9" t="n">
        <v>3257541.87</v>
      </c>
      <c r="J148" s="9" t="n">
        <v>361990.96</v>
      </c>
      <c r="K148" s="9" t="n">
        <v>2121667.51</v>
      </c>
      <c r="L148" s="8" t="n">
        <v>344</v>
      </c>
      <c r="M148" s="8" t="n">
        <v>4624</v>
      </c>
      <c r="N148" s="10" t="n">
        <v>36.96</v>
      </c>
    </row>
    <row r="149" customFormat="false" ht="15" hidden="false" customHeight="false" outlineLevel="0" collapsed="false">
      <c r="A149" s="8" t="s">
        <v>76</v>
      </c>
      <c r="B149" s="8" t="s">
        <v>77</v>
      </c>
      <c r="C149" s="8" t="s">
        <v>72</v>
      </c>
      <c r="D149" s="8" t="s">
        <v>65</v>
      </c>
      <c r="E149" s="8" t="n">
        <v>2021</v>
      </c>
      <c r="F149" s="8" t="s">
        <v>42</v>
      </c>
      <c r="G149" s="8" t="s">
        <v>47</v>
      </c>
      <c r="H149" s="9" t="n">
        <v>4836964.39</v>
      </c>
      <c r="I149" s="9" t="n">
        <v>3175566.3</v>
      </c>
      <c r="J149" s="9" t="n">
        <v>159266.8</v>
      </c>
      <c r="K149" s="9" t="n">
        <v>1502131.29</v>
      </c>
      <c r="L149" s="8" t="n">
        <v>342</v>
      </c>
      <c r="M149" s="8" t="n">
        <v>2730</v>
      </c>
      <c r="N149" s="10" t="n">
        <v>31.06</v>
      </c>
    </row>
    <row r="150" customFormat="false" ht="15" hidden="false" customHeight="false" outlineLevel="0" collapsed="false">
      <c r="A150" s="8" t="s">
        <v>76</v>
      </c>
      <c r="B150" s="8" t="s">
        <v>77</v>
      </c>
      <c r="C150" s="8" t="s">
        <v>72</v>
      </c>
      <c r="D150" s="8" t="s">
        <v>65</v>
      </c>
      <c r="E150" s="8" t="n">
        <v>2022</v>
      </c>
      <c r="F150" s="8" t="s">
        <v>36</v>
      </c>
      <c r="G150" s="8" t="s">
        <v>48</v>
      </c>
      <c r="H150" s="9" t="n">
        <v>5942077.21</v>
      </c>
      <c r="I150" s="9" t="n">
        <v>3887616.27</v>
      </c>
      <c r="J150" s="9" t="n">
        <v>439919.28</v>
      </c>
      <c r="K150" s="9" t="n">
        <v>1614541.66</v>
      </c>
      <c r="L150" s="8" t="n">
        <v>339</v>
      </c>
      <c r="M150" s="8" t="n">
        <v>5566</v>
      </c>
      <c r="N150" s="10" t="n">
        <v>27.17</v>
      </c>
    </row>
    <row r="151" customFormat="false" ht="15" hidden="false" customHeight="false" outlineLevel="0" collapsed="false">
      <c r="A151" s="8" t="s">
        <v>76</v>
      </c>
      <c r="B151" s="8" t="s">
        <v>77</v>
      </c>
      <c r="C151" s="8" t="s">
        <v>72</v>
      </c>
      <c r="D151" s="8" t="s">
        <v>65</v>
      </c>
      <c r="E151" s="8" t="n">
        <v>2022</v>
      </c>
      <c r="F151" s="8" t="s">
        <v>38</v>
      </c>
      <c r="G151" s="8" t="s">
        <v>49</v>
      </c>
      <c r="H151" s="9" t="n">
        <v>6271515.09</v>
      </c>
      <c r="I151" s="9" t="n">
        <v>3748722.93</v>
      </c>
      <c r="J151" s="9" t="n">
        <v>313829.96</v>
      </c>
      <c r="K151" s="9" t="n">
        <v>2208962.2</v>
      </c>
      <c r="L151" s="8" t="n">
        <v>340</v>
      </c>
      <c r="M151" s="8" t="n">
        <v>2728</v>
      </c>
      <c r="N151" s="10" t="n">
        <v>35.22</v>
      </c>
    </row>
    <row r="152" customFormat="false" ht="15" hidden="false" customHeight="false" outlineLevel="0" collapsed="false">
      <c r="A152" s="8" t="s">
        <v>76</v>
      </c>
      <c r="B152" s="8" t="s">
        <v>77</v>
      </c>
      <c r="C152" s="8" t="s">
        <v>72</v>
      </c>
      <c r="D152" s="8" t="s">
        <v>65</v>
      </c>
      <c r="E152" s="8" t="n">
        <v>2022</v>
      </c>
      <c r="F152" s="8" t="s">
        <v>40</v>
      </c>
      <c r="G152" s="8" t="s">
        <v>50</v>
      </c>
      <c r="H152" s="9" t="n">
        <v>5626215.25</v>
      </c>
      <c r="I152" s="9" t="n">
        <v>3931045.89</v>
      </c>
      <c r="J152" s="9" t="n">
        <v>281913.51</v>
      </c>
      <c r="K152" s="9" t="n">
        <v>1413255.85</v>
      </c>
      <c r="L152" s="8" t="n">
        <v>341</v>
      </c>
      <c r="M152" s="8" t="n">
        <v>2540</v>
      </c>
      <c r="N152" s="10" t="n">
        <v>25.12</v>
      </c>
    </row>
    <row r="153" customFormat="false" ht="15" hidden="false" customHeight="false" outlineLevel="0" collapsed="false">
      <c r="A153" s="8" t="s">
        <v>76</v>
      </c>
      <c r="B153" s="8" t="s">
        <v>77</v>
      </c>
      <c r="C153" s="8" t="s">
        <v>72</v>
      </c>
      <c r="D153" s="8" t="s">
        <v>65</v>
      </c>
      <c r="E153" s="8" t="n">
        <v>2022</v>
      </c>
      <c r="F153" s="8" t="s">
        <v>42</v>
      </c>
      <c r="G153" s="8" t="s">
        <v>51</v>
      </c>
      <c r="H153" s="9" t="n">
        <v>5136266.47</v>
      </c>
      <c r="I153" s="9" t="n">
        <v>3023342.93</v>
      </c>
      <c r="J153" s="9" t="n">
        <v>419757.03</v>
      </c>
      <c r="K153" s="9" t="n">
        <v>1693166.51</v>
      </c>
      <c r="L153" s="8" t="n">
        <v>344</v>
      </c>
      <c r="M153" s="8" t="n">
        <v>2932</v>
      </c>
      <c r="N153" s="10" t="n">
        <v>32.96</v>
      </c>
    </row>
    <row r="154" customFormat="false" ht="15" hidden="false" customHeight="false" outlineLevel="0" collapsed="false">
      <c r="A154" s="8" t="s">
        <v>76</v>
      </c>
      <c r="B154" s="8" t="s">
        <v>77</v>
      </c>
      <c r="C154" s="8" t="s">
        <v>72</v>
      </c>
      <c r="D154" s="8" t="s">
        <v>65</v>
      </c>
      <c r="E154" s="8" t="n">
        <v>2023</v>
      </c>
      <c r="F154" s="8" t="s">
        <v>36</v>
      </c>
      <c r="G154" s="8" t="s">
        <v>52</v>
      </c>
      <c r="H154" s="9" t="n">
        <v>5653034.44</v>
      </c>
      <c r="I154" s="9" t="n">
        <v>3130003.45</v>
      </c>
      <c r="J154" s="9" t="n">
        <v>265695.88</v>
      </c>
      <c r="K154" s="9" t="n">
        <v>2257335.11</v>
      </c>
      <c r="L154" s="8" t="n">
        <v>347</v>
      </c>
      <c r="M154" s="8" t="n">
        <v>3854</v>
      </c>
      <c r="N154" s="10" t="n">
        <v>39.93</v>
      </c>
    </row>
    <row r="155" customFormat="false" ht="15" hidden="false" customHeight="false" outlineLevel="0" collapsed="false">
      <c r="A155" s="8" t="s">
        <v>76</v>
      </c>
      <c r="B155" s="8" t="s">
        <v>77</v>
      </c>
      <c r="C155" s="8" t="s">
        <v>72</v>
      </c>
      <c r="D155" s="8" t="s">
        <v>65</v>
      </c>
      <c r="E155" s="8" t="n">
        <v>2023</v>
      </c>
      <c r="F155" s="8" t="s">
        <v>38</v>
      </c>
      <c r="G155" s="8" t="s">
        <v>53</v>
      </c>
      <c r="H155" s="9" t="n">
        <v>6123476.28</v>
      </c>
      <c r="I155" s="9" t="n">
        <v>3493455.13</v>
      </c>
      <c r="J155" s="9" t="n">
        <v>526139.41</v>
      </c>
      <c r="K155" s="9" t="n">
        <v>2103881.74</v>
      </c>
      <c r="L155" s="8" t="n">
        <v>346</v>
      </c>
      <c r="M155" s="8" t="n">
        <v>6689</v>
      </c>
      <c r="N155" s="10" t="n">
        <v>34.36</v>
      </c>
    </row>
    <row r="156" customFormat="false" ht="15" hidden="false" customHeight="false" outlineLevel="0" collapsed="false">
      <c r="A156" s="8" t="s">
        <v>76</v>
      </c>
      <c r="B156" s="8" t="s">
        <v>77</v>
      </c>
      <c r="C156" s="8" t="s">
        <v>72</v>
      </c>
      <c r="D156" s="8" t="s">
        <v>65</v>
      </c>
      <c r="E156" s="8" t="n">
        <v>2023</v>
      </c>
      <c r="F156" s="8" t="s">
        <v>40</v>
      </c>
      <c r="G156" s="8" t="s">
        <v>54</v>
      </c>
      <c r="H156" s="9" t="n">
        <v>5900429.18</v>
      </c>
      <c r="I156" s="9" t="n">
        <v>3804093.88</v>
      </c>
      <c r="J156" s="9" t="n">
        <v>427865.61</v>
      </c>
      <c r="K156" s="9" t="n">
        <v>1668469.69</v>
      </c>
      <c r="L156" s="8" t="n">
        <v>346</v>
      </c>
      <c r="M156" s="8" t="n">
        <v>3104</v>
      </c>
      <c r="N156" s="10" t="n">
        <v>28.28</v>
      </c>
    </row>
    <row r="157" customFormat="false" ht="15" hidden="false" customHeight="false" outlineLevel="0" collapsed="false">
      <c r="A157" s="8" t="s">
        <v>76</v>
      </c>
      <c r="B157" s="8" t="s">
        <v>77</v>
      </c>
      <c r="C157" s="8" t="s">
        <v>72</v>
      </c>
      <c r="D157" s="8" t="s">
        <v>65</v>
      </c>
      <c r="E157" s="8" t="n">
        <v>2023</v>
      </c>
      <c r="F157" s="8" t="s">
        <v>42</v>
      </c>
      <c r="G157" s="8" t="s">
        <v>55</v>
      </c>
      <c r="H157" s="9" t="n">
        <v>5826455.87</v>
      </c>
      <c r="I157" s="9" t="n">
        <v>3233201.65</v>
      </c>
      <c r="J157" s="9" t="n">
        <v>439872.9</v>
      </c>
      <c r="K157" s="9" t="n">
        <v>2153381.32</v>
      </c>
      <c r="L157" s="8" t="n">
        <v>344</v>
      </c>
      <c r="M157" s="8" t="n">
        <v>2970</v>
      </c>
      <c r="N157" s="10" t="n">
        <v>36.96</v>
      </c>
    </row>
    <row r="158" customFormat="false" ht="15" hidden="false" customHeight="false" outlineLevel="0" collapsed="false">
      <c r="A158" s="8" t="s">
        <v>76</v>
      </c>
      <c r="B158" s="8" t="s">
        <v>77</v>
      </c>
      <c r="C158" s="8" t="s">
        <v>72</v>
      </c>
      <c r="D158" s="8" t="s">
        <v>65</v>
      </c>
      <c r="E158" s="8" t="n">
        <v>2024</v>
      </c>
      <c r="F158" s="8" t="s">
        <v>36</v>
      </c>
      <c r="G158" s="8" t="s">
        <v>56</v>
      </c>
      <c r="H158" s="9" t="n">
        <v>5769701.17</v>
      </c>
      <c r="I158" s="9" t="n">
        <v>3291260.97</v>
      </c>
      <c r="J158" s="9" t="n">
        <v>499992.02</v>
      </c>
      <c r="K158" s="9" t="n">
        <v>1978448.18</v>
      </c>
      <c r="L158" s="8" t="n">
        <v>343</v>
      </c>
      <c r="M158" s="8" t="n">
        <v>2617</v>
      </c>
      <c r="N158" s="10" t="n">
        <v>34.29</v>
      </c>
    </row>
    <row r="159" customFormat="false" ht="15" hidden="false" customHeight="false" outlineLevel="0" collapsed="false">
      <c r="A159" s="8" t="s">
        <v>76</v>
      </c>
      <c r="B159" s="8" t="s">
        <v>77</v>
      </c>
      <c r="C159" s="8" t="s">
        <v>72</v>
      </c>
      <c r="D159" s="8" t="s">
        <v>65</v>
      </c>
      <c r="E159" s="8" t="n">
        <v>2024</v>
      </c>
      <c r="F159" s="8" t="s">
        <v>38</v>
      </c>
      <c r="G159" s="8" t="s">
        <v>57</v>
      </c>
      <c r="H159" s="9" t="n">
        <v>6656871.94</v>
      </c>
      <c r="I159" s="9" t="n">
        <v>3770959.58</v>
      </c>
      <c r="J159" s="9" t="n">
        <v>287884.26</v>
      </c>
      <c r="K159" s="9" t="n">
        <v>2598028.1</v>
      </c>
      <c r="L159" s="8" t="n">
        <v>340</v>
      </c>
      <c r="M159" s="8" t="n">
        <v>5264</v>
      </c>
      <c r="N159" s="10" t="n">
        <v>39.03</v>
      </c>
    </row>
    <row r="160" customFormat="false" ht="15" hidden="false" customHeight="false" outlineLevel="0" collapsed="false">
      <c r="A160" s="8" t="s">
        <v>76</v>
      </c>
      <c r="B160" s="8" t="s">
        <v>77</v>
      </c>
      <c r="C160" s="8" t="s">
        <v>72</v>
      </c>
      <c r="D160" s="8" t="s">
        <v>65</v>
      </c>
      <c r="E160" s="8" t="n">
        <v>2024</v>
      </c>
      <c r="F160" s="8" t="s">
        <v>40</v>
      </c>
      <c r="G160" s="8" t="s">
        <v>58</v>
      </c>
      <c r="H160" s="9" t="n">
        <v>5972019.42</v>
      </c>
      <c r="I160" s="9" t="n">
        <v>4436637.68</v>
      </c>
      <c r="J160" s="9" t="n">
        <v>486370.85</v>
      </c>
      <c r="K160" s="9" t="n">
        <v>1049010.89</v>
      </c>
      <c r="L160" s="8" t="n">
        <v>338</v>
      </c>
      <c r="M160" s="8" t="n">
        <v>4489</v>
      </c>
      <c r="N160" s="10" t="n">
        <v>17.57</v>
      </c>
    </row>
    <row r="161" customFormat="false" ht="15" hidden="false" customHeight="false" outlineLevel="0" collapsed="false">
      <c r="A161" s="8" t="s">
        <v>76</v>
      </c>
      <c r="B161" s="8" t="s">
        <v>77</v>
      </c>
      <c r="C161" s="8" t="s">
        <v>72</v>
      </c>
      <c r="D161" s="8" t="s">
        <v>65</v>
      </c>
      <c r="E161" s="8" t="n">
        <v>2024</v>
      </c>
      <c r="F161" s="8" t="s">
        <v>42</v>
      </c>
      <c r="G161" s="8" t="s">
        <v>59</v>
      </c>
      <c r="H161" s="9" t="n">
        <v>5816740.81</v>
      </c>
      <c r="I161" s="9" t="n">
        <v>3466724.71</v>
      </c>
      <c r="J161" s="9" t="n">
        <v>486546.82</v>
      </c>
      <c r="K161" s="9" t="n">
        <v>1863469.28</v>
      </c>
      <c r="L161" s="8" t="n">
        <v>337</v>
      </c>
      <c r="M161" s="8" t="n">
        <v>2563</v>
      </c>
      <c r="N161" s="10" t="n">
        <v>32.04</v>
      </c>
    </row>
    <row r="162" customFormat="false" ht="15" hidden="false" customHeight="false" outlineLevel="0" collapsed="false">
      <c r="A162" s="8" t="s">
        <v>78</v>
      </c>
      <c r="B162" s="8" t="s">
        <v>79</v>
      </c>
      <c r="C162" s="8" t="s">
        <v>72</v>
      </c>
      <c r="D162" s="8" t="s">
        <v>65</v>
      </c>
      <c r="E162" s="8" t="n">
        <v>2020</v>
      </c>
      <c r="F162" s="8" t="s">
        <v>36</v>
      </c>
      <c r="G162" s="8" t="s">
        <v>37</v>
      </c>
      <c r="H162" s="9" t="n">
        <v>6567689.19</v>
      </c>
      <c r="I162" s="9" t="n">
        <v>4721883.79</v>
      </c>
      <c r="J162" s="9" t="n">
        <v>419757.03</v>
      </c>
      <c r="K162" s="9" t="n">
        <v>1426048.37</v>
      </c>
      <c r="L162" s="8" t="n">
        <v>118</v>
      </c>
      <c r="M162" s="8" t="n">
        <v>6419</v>
      </c>
      <c r="N162" s="10" t="n">
        <v>21.71</v>
      </c>
    </row>
    <row r="163" customFormat="false" ht="15" hidden="false" customHeight="false" outlineLevel="0" collapsed="false">
      <c r="A163" s="8" t="s">
        <v>78</v>
      </c>
      <c r="B163" s="8" t="s">
        <v>79</v>
      </c>
      <c r="C163" s="8" t="s">
        <v>72</v>
      </c>
      <c r="D163" s="8" t="s">
        <v>65</v>
      </c>
      <c r="E163" s="8" t="n">
        <v>2020</v>
      </c>
      <c r="F163" s="8" t="s">
        <v>38</v>
      </c>
      <c r="G163" s="8" t="s">
        <v>39</v>
      </c>
      <c r="H163" s="9" t="n">
        <v>7464940.84</v>
      </c>
      <c r="I163" s="9" t="n">
        <v>5550200.33</v>
      </c>
      <c r="J163" s="9" t="n">
        <v>632356.35</v>
      </c>
      <c r="K163" s="9" t="n">
        <v>1282384.16</v>
      </c>
      <c r="L163" s="8" t="n">
        <v>121</v>
      </c>
      <c r="M163" s="8" t="n">
        <v>9306</v>
      </c>
      <c r="N163" s="10" t="n">
        <v>17.18</v>
      </c>
    </row>
    <row r="164" customFormat="false" ht="15" hidden="false" customHeight="false" outlineLevel="0" collapsed="false">
      <c r="A164" s="8" t="s">
        <v>78</v>
      </c>
      <c r="B164" s="8" t="s">
        <v>79</v>
      </c>
      <c r="C164" s="8" t="s">
        <v>72</v>
      </c>
      <c r="D164" s="8" t="s">
        <v>65</v>
      </c>
      <c r="E164" s="8" t="n">
        <v>2020</v>
      </c>
      <c r="F164" s="8" t="s">
        <v>40</v>
      </c>
      <c r="G164" s="8" t="s">
        <v>41</v>
      </c>
      <c r="H164" s="9" t="n">
        <v>6627530.27</v>
      </c>
      <c r="I164" s="9" t="n">
        <v>3910938.39</v>
      </c>
      <c r="J164" s="9" t="n">
        <v>369937.83</v>
      </c>
      <c r="K164" s="9" t="n">
        <v>2346654.05</v>
      </c>
      <c r="L164" s="8" t="n">
        <v>122</v>
      </c>
      <c r="M164" s="8" t="n">
        <v>3703</v>
      </c>
      <c r="N164" s="10" t="n">
        <v>35.41</v>
      </c>
    </row>
    <row r="165" customFormat="false" ht="15" hidden="false" customHeight="false" outlineLevel="0" collapsed="false">
      <c r="A165" s="8" t="s">
        <v>78</v>
      </c>
      <c r="B165" s="8" t="s">
        <v>79</v>
      </c>
      <c r="C165" s="8" t="s">
        <v>72</v>
      </c>
      <c r="D165" s="8" t="s">
        <v>65</v>
      </c>
      <c r="E165" s="8" t="n">
        <v>2020</v>
      </c>
      <c r="F165" s="8" t="s">
        <v>42</v>
      </c>
      <c r="G165" s="8" t="s">
        <v>43</v>
      </c>
      <c r="H165" s="9" t="n">
        <v>6003265.64</v>
      </c>
      <c r="I165" s="9" t="n">
        <v>3821975.16</v>
      </c>
      <c r="J165" s="9" t="n">
        <v>392708.64</v>
      </c>
      <c r="K165" s="9" t="n">
        <v>1788581.84</v>
      </c>
      <c r="L165" s="8" t="n">
        <v>125</v>
      </c>
      <c r="M165" s="8" t="n">
        <v>4077</v>
      </c>
      <c r="N165" s="10" t="n">
        <v>29.79</v>
      </c>
    </row>
    <row r="166" customFormat="false" ht="15" hidden="false" customHeight="false" outlineLevel="0" collapsed="false">
      <c r="A166" s="8" t="s">
        <v>78</v>
      </c>
      <c r="B166" s="8" t="s">
        <v>79</v>
      </c>
      <c r="C166" s="8" t="s">
        <v>72</v>
      </c>
      <c r="D166" s="8" t="s">
        <v>65</v>
      </c>
      <c r="E166" s="8" t="n">
        <v>2021</v>
      </c>
      <c r="F166" s="8" t="s">
        <v>36</v>
      </c>
      <c r="G166" s="8" t="s">
        <v>44</v>
      </c>
      <c r="H166" s="9" t="n">
        <v>7737642.93</v>
      </c>
      <c r="I166" s="9" t="n">
        <v>5586767.61</v>
      </c>
      <c r="J166" s="9" t="n">
        <v>554780.59</v>
      </c>
      <c r="K166" s="9" t="n">
        <v>1596094.73</v>
      </c>
      <c r="L166" s="8" t="n">
        <v>122</v>
      </c>
      <c r="M166" s="8" t="n">
        <v>6386</v>
      </c>
      <c r="N166" s="10" t="n">
        <v>20.63</v>
      </c>
    </row>
    <row r="167" customFormat="false" ht="15" hidden="false" customHeight="false" outlineLevel="0" collapsed="false">
      <c r="A167" s="8" t="s">
        <v>78</v>
      </c>
      <c r="B167" s="8" t="s">
        <v>79</v>
      </c>
      <c r="C167" s="8" t="s">
        <v>72</v>
      </c>
      <c r="D167" s="8" t="s">
        <v>65</v>
      </c>
      <c r="E167" s="8" t="n">
        <v>2021</v>
      </c>
      <c r="F167" s="8" t="s">
        <v>38</v>
      </c>
      <c r="G167" s="8" t="s">
        <v>45</v>
      </c>
      <c r="H167" s="9" t="n">
        <v>9087681.95</v>
      </c>
      <c r="I167" s="9" t="n">
        <v>5031608.92</v>
      </c>
      <c r="J167" s="9" t="n">
        <v>583922.37</v>
      </c>
      <c r="K167" s="9" t="n">
        <v>3472150.66</v>
      </c>
      <c r="L167" s="8" t="n">
        <v>120</v>
      </c>
      <c r="M167" s="8" t="n">
        <v>6546</v>
      </c>
      <c r="N167" s="10" t="n">
        <v>38.21</v>
      </c>
    </row>
    <row r="168" customFormat="false" ht="15" hidden="false" customHeight="false" outlineLevel="0" collapsed="false">
      <c r="A168" s="8" t="s">
        <v>78</v>
      </c>
      <c r="B168" s="8" t="s">
        <v>79</v>
      </c>
      <c r="C168" s="8" t="s">
        <v>72</v>
      </c>
      <c r="D168" s="8" t="s">
        <v>65</v>
      </c>
      <c r="E168" s="8" t="n">
        <v>2021</v>
      </c>
      <c r="F168" s="8" t="s">
        <v>40</v>
      </c>
      <c r="G168" s="8" t="s">
        <v>46</v>
      </c>
      <c r="H168" s="9" t="n">
        <v>8554482.92</v>
      </c>
      <c r="I168" s="9" t="n">
        <v>5304852.02</v>
      </c>
      <c r="J168" s="9" t="n">
        <v>301733.64</v>
      </c>
      <c r="K168" s="9" t="n">
        <v>2947897.26</v>
      </c>
      <c r="L168" s="8" t="n">
        <v>122</v>
      </c>
      <c r="M168" s="8" t="n">
        <v>4847</v>
      </c>
      <c r="N168" s="10" t="n">
        <v>34.46</v>
      </c>
    </row>
    <row r="169" customFormat="false" ht="15" hidden="false" customHeight="false" outlineLevel="0" collapsed="false">
      <c r="A169" s="8" t="s">
        <v>78</v>
      </c>
      <c r="B169" s="8" t="s">
        <v>79</v>
      </c>
      <c r="C169" s="8" t="s">
        <v>72</v>
      </c>
      <c r="D169" s="8" t="s">
        <v>65</v>
      </c>
      <c r="E169" s="8" t="n">
        <v>2021</v>
      </c>
      <c r="F169" s="8" t="s">
        <v>42</v>
      </c>
      <c r="G169" s="8" t="s">
        <v>47</v>
      </c>
      <c r="H169" s="9" t="n">
        <v>7708293.94</v>
      </c>
      <c r="I169" s="9" t="n">
        <v>5505942.98</v>
      </c>
      <c r="J169" s="9" t="n">
        <v>551849.38</v>
      </c>
      <c r="K169" s="9" t="n">
        <v>1650501.58</v>
      </c>
      <c r="L169" s="8" t="n">
        <v>123</v>
      </c>
      <c r="M169" s="8" t="n">
        <v>3188</v>
      </c>
      <c r="N169" s="10" t="n">
        <v>21.41</v>
      </c>
    </row>
    <row r="170" customFormat="false" ht="15" hidden="false" customHeight="false" outlineLevel="0" collapsed="false">
      <c r="A170" s="8" t="s">
        <v>78</v>
      </c>
      <c r="B170" s="8" t="s">
        <v>79</v>
      </c>
      <c r="C170" s="8" t="s">
        <v>72</v>
      </c>
      <c r="D170" s="8" t="s">
        <v>65</v>
      </c>
      <c r="E170" s="8" t="n">
        <v>2022</v>
      </c>
      <c r="F170" s="8" t="s">
        <v>36</v>
      </c>
      <c r="G170" s="8" t="s">
        <v>48</v>
      </c>
      <c r="H170" s="9" t="n">
        <v>9302687.09</v>
      </c>
      <c r="I170" s="9" t="n">
        <v>6445063.36</v>
      </c>
      <c r="J170" s="9" t="n">
        <v>765221.81</v>
      </c>
      <c r="K170" s="9" t="n">
        <v>2092401.92</v>
      </c>
      <c r="L170" s="8" t="n">
        <v>126</v>
      </c>
      <c r="M170" s="8" t="n">
        <v>4257</v>
      </c>
      <c r="N170" s="10" t="n">
        <v>22.49</v>
      </c>
    </row>
    <row r="171" customFormat="false" ht="15" hidden="false" customHeight="false" outlineLevel="0" collapsed="false">
      <c r="A171" s="8" t="s">
        <v>78</v>
      </c>
      <c r="B171" s="8" t="s">
        <v>79</v>
      </c>
      <c r="C171" s="8" t="s">
        <v>72</v>
      </c>
      <c r="D171" s="8" t="s">
        <v>65</v>
      </c>
      <c r="E171" s="8" t="n">
        <v>2022</v>
      </c>
      <c r="F171" s="8" t="s">
        <v>38</v>
      </c>
      <c r="G171" s="8" t="s">
        <v>49</v>
      </c>
      <c r="H171" s="9" t="n">
        <v>9750319.03</v>
      </c>
      <c r="I171" s="9" t="n">
        <v>6441063.58</v>
      </c>
      <c r="J171" s="9" t="n">
        <v>679101.99</v>
      </c>
      <c r="K171" s="9" t="n">
        <v>2630153.46</v>
      </c>
      <c r="L171" s="8" t="n">
        <v>129</v>
      </c>
      <c r="M171" s="8" t="n">
        <v>6027</v>
      </c>
      <c r="N171" s="10" t="n">
        <v>26.98</v>
      </c>
    </row>
    <row r="172" customFormat="false" ht="15" hidden="false" customHeight="false" outlineLevel="0" collapsed="false">
      <c r="A172" s="8" t="s">
        <v>78</v>
      </c>
      <c r="B172" s="8" t="s">
        <v>79</v>
      </c>
      <c r="C172" s="8" t="s">
        <v>72</v>
      </c>
      <c r="D172" s="8" t="s">
        <v>65</v>
      </c>
      <c r="E172" s="8" t="n">
        <v>2022</v>
      </c>
      <c r="F172" s="8" t="s">
        <v>40</v>
      </c>
      <c r="G172" s="8" t="s">
        <v>50</v>
      </c>
      <c r="H172" s="9" t="n">
        <v>9339923.92</v>
      </c>
      <c r="I172" s="9" t="n">
        <v>5249694.93</v>
      </c>
      <c r="J172" s="9" t="n">
        <v>325942.79</v>
      </c>
      <c r="K172" s="9" t="n">
        <v>3764286.2</v>
      </c>
      <c r="L172" s="8" t="n">
        <v>127</v>
      </c>
      <c r="M172" s="8" t="n">
        <v>4092</v>
      </c>
      <c r="N172" s="10" t="n">
        <v>40.3</v>
      </c>
    </row>
    <row r="173" customFormat="false" ht="15" hidden="false" customHeight="false" outlineLevel="0" collapsed="false">
      <c r="A173" s="8" t="s">
        <v>78</v>
      </c>
      <c r="B173" s="8" t="s">
        <v>79</v>
      </c>
      <c r="C173" s="8" t="s">
        <v>72</v>
      </c>
      <c r="D173" s="8" t="s">
        <v>65</v>
      </c>
      <c r="E173" s="8" t="n">
        <v>2022</v>
      </c>
      <c r="F173" s="8" t="s">
        <v>42</v>
      </c>
      <c r="G173" s="8" t="s">
        <v>51</v>
      </c>
      <c r="H173" s="9" t="n">
        <v>7744103.92</v>
      </c>
      <c r="I173" s="9" t="n">
        <v>4987485.73</v>
      </c>
      <c r="J173" s="9" t="n">
        <v>385199.83</v>
      </c>
      <c r="K173" s="9" t="n">
        <v>2371418.36</v>
      </c>
      <c r="L173" s="8" t="n">
        <v>126</v>
      </c>
      <c r="M173" s="8" t="n">
        <v>5037</v>
      </c>
      <c r="N173" s="10" t="n">
        <v>30.62</v>
      </c>
    </row>
    <row r="174" customFormat="false" ht="15" hidden="false" customHeight="false" outlineLevel="0" collapsed="false">
      <c r="A174" s="8" t="s">
        <v>78</v>
      </c>
      <c r="B174" s="8" t="s">
        <v>79</v>
      </c>
      <c r="C174" s="8" t="s">
        <v>72</v>
      </c>
      <c r="D174" s="8" t="s">
        <v>65</v>
      </c>
      <c r="E174" s="8" t="n">
        <v>2023</v>
      </c>
      <c r="F174" s="8" t="s">
        <v>36</v>
      </c>
      <c r="G174" s="8" t="s">
        <v>52</v>
      </c>
      <c r="H174" s="9" t="n">
        <v>8090893.44</v>
      </c>
      <c r="I174" s="9" t="n">
        <v>5248201.47</v>
      </c>
      <c r="J174" s="9" t="n">
        <v>506075.01</v>
      </c>
      <c r="K174" s="9" t="n">
        <v>2336616.96</v>
      </c>
      <c r="L174" s="8" t="n">
        <v>128</v>
      </c>
      <c r="M174" s="8" t="n">
        <v>6886</v>
      </c>
      <c r="N174" s="10" t="n">
        <v>28.88</v>
      </c>
    </row>
    <row r="175" customFormat="false" ht="15" hidden="false" customHeight="false" outlineLevel="0" collapsed="false">
      <c r="A175" s="8" t="s">
        <v>78</v>
      </c>
      <c r="B175" s="8" t="s">
        <v>79</v>
      </c>
      <c r="C175" s="8" t="s">
        <v>72</v>
      </c>
      <c r="D175" s="8" t="s">
        <v>65</v>
      </c>
      <c r="E175" s="8" t="n">
        <v>2023</v>
      </c>
      <c r="F175" s="8" t="s">
        <v>38</v>
      </c>
      <c r="G175" s="8" t="s">
        <v>53</v>
      </c>
      <c r="H175" s="9" t="n">
        <v>9029808.46</v>
      </c>
      <c r="I175" s="9" t="n">
        <v>5431760.08</v>
      </c>
      <c r="J175" s="9" t="n">
        <v>287501.43</v>
      </c>
      <c r="K175" s="9" t="n">
        <v>3310546.95</v>
      </c>
      <c r="L175" s="8" t="n">
        <v>129</v>
      </c>
      <c r="M175" s="8" t="n">
        <v>4434</v>
      </c>
      <c r="N175" s="10" t="n">
        <v>36.66</v>
      </c>
    </row>
    <row r="176" customFormat="false" ht="15" hidden="false" customHeight="false" outlineLevel="0" collapsed="false">
      <c r="A176" s="8" t="s">
        <v>78</v>
      </c>
      <c r="B176" s="8" t="s">
        <v>79</v>
      </c>
      <c r="C176" s="8" t="s">
        <v>72</v>
      </c>
      <c r="D176" s="8" t="s">
        <v>65</v>
      </c>
      <c r="E176" s="8" t="n">
        <v>2023</v>
      </c>
      <c r="F176" s="8" t="s">
        <v>40</v>
      </c>
      <c r="G176" s="8" t="s">
        <v>54</v>
      </c>
      <c r="H176" s="9" t="n">
        <v>8890913.09</v>
      </c>
      <c r="I176" s="9" t="n">
        <v>6255155.47</v>
      </c>
      <c r="J176" s="9" t="n">
        <v>659003.53</v>
      </c>
      <c r="K176" s="9" t="n">
        <v>1976754.09</v>
      </c>
      <c r="L176" s="8" t="n">
        <v>126</v>
      </c>
      <c r="M176" s="8" t="n">
        <v>5311</v>
      </c>
      <c r="N176" s="10" t="n">
        <v>22.23</v>
      </c>
    </row>
    <row r="177" customFormat="false" ht="15" hidden="false" customHeight="false" outlineLevel="0" collapsed="false">
      <c r="A177" s="8" t="s">
        <v>78</v>
      </c>
      <c r="B177" s="8" t="s">
        <v>79</v>
      </c>
      <c r="C177" s="8" t="s">
        <v>72</v>
      </c>
      <c r="D177" s="8" t="s">
        <v>65</v>
      </c>
      <c r="E177" s="8" t="n">
        <v>2023</v>
      </c>
      <c r="F177" s="8" t="s">
        <v>42</v>
      </c>
      <c r="G177" s="8" t="s">
        <v>55</v>
      </c>
      <c r="H177" s="9" t="n">
        <v>8195756.26</v>
      </c>
      <c r="I177" s="9" t="n">
        <v>5696472.95</v>
      </c>
      <c r="J177" s="9" t="n">
        <v>461559.79</v>
      </c>
      <c r="K177" s="9" t="n">
        <v>2037723.52</v>
      </c>
      <c r="L177" s="8" t="n">
        <v>128</v>
      </c>
      <c r="M177" s="8" t="n">
        <v>3515</v>
      </c>
      <c r="N177" s="10" t="n">
        <v>24.86</v>
      </c>
    </row>
    <row r="178" customFormat="false" ht="15" hidden="false" customHeight="false" outlineLevel="0" collapsed="false">
      <c r="A178" s="8" t="s">
        <v>78</v>
      </c>
      <c r="B178" s="8" t="s">
        <v>79</v>
      </c>
      <c r="C178" s="8" t="s">
        <v>72</v>
      </c>
      <c r="D178" s="8" t="s">
        <v>65</v>
      </c>
      <c r="E178" s="8" t="n">
        <v>2024</v>
      </c>
      <c r="F178" s="8" t="s">
        <v>36</v>
      </c>
      <c r="G178" s="8" t="s">
        <v>56</v>
      </c>
      <c r="H178" s="9" t="n">
        <v>8398836.63</v>
      </c>
      <c r="I178" s="9" t="n">
        <v>5401817.28</v>
      </c>
      <c r="J178" s="9" t="n">
        <v>445397.27</v>
      </c>
      <c r="K178" s="9" t="n">
        <v>2551622.08</v>
      </c>
      <c r="L178" s="8" t="n">
        <v>128</v>
      </c>
      <c r="M178" s="8" t="n">
        <v>3963</v>
      </c>
      <c r="N178" s="10" t="n">
        <v>30.38</v>
      </c>
    </row>
    <row r="179" customFormat="false" ht="15" hidden="false" customHeight="false" outlineLevel="0" collapsed="false">
      <c r="A179" s="8" t="s">
        <v>78</v>
      </c>
      <c r="B179" s="8" t="s">
        <v>79</v>
      </c>
      <c r="C179" s="8" t="s">
        <v>72</v>
      </c>
      <c r="D179" s="8" t="s">
        <v>65</v>
      </c>
      <c r="E179" s="8" t="n">
        <v>2024</v>
      </c>
      <c r="F179" s="8" t="s">
        <v>38</v>
      </c>
      <c r="G179" s="8" t="s">
        <v>57</v>
      </c>
      <c r="H179" s="9" t="n">
        <v>9824480.58</v>
      </c>
      <c r="I179" s="9" t="n">
        <v>5756522.96</v>
      </c>
      <c r="J179" s="9" t="n">
        <v>830580.76</v>
      </c>
      <c r="K179" s="9" t="n">
        <v>3237376.86</v>
      </c>
      <c r="L179" s="8" t="n">
        <v>130</v>
      </c>
      <c r="M179" s="8" t="n">
        <v>6001</v>
      </c>
      <c r="N179" s="10" t="n">
        <v>32.95</v>
      </c>
    </row>
    <row r="180" customFormat="false" ht="15" hidden="false" customHeight="false" outlineLevel="0" collapsed="false">
      <c r="A180" s="8" t="s">
        <v>78</v>
      </c>
      <c r="B180" s="8" t="s">
        <v>79</v>
      </c>
      <c r="C180" s="8" t="s">
        <v>72</v>
      </c>
      <c r="D180" s="8" t="s">
        <v>65</v>
      </c>
      <c r="E180" s="8" t="n">
        <v>2024</v>
      </c>
      <c r="F180" s="8" t="s">
        <v>40</v>
      </c>
      <c r="G180" s="8" t="s">
        <v>58</v>
      </c>
      <c r="H180" s="9" t="n">
        <v>8766685.21</v>
      </c>
      <c r="I180" s="9" t="n">
        <v>5837586.47</v>
      </c>
      <c r="J180" s="9" t="n">
        <v>574876.29</v>
      </c>
      <c r="K180" s="9" t="n">
        <v>2354222.45</v>
      </c>
      <c r="L180" s="8" t="n">
        <v>127</v>
      </c>
      <c r="M180" s="8" t="n">
        <v>4593</v>
      </c>
      <c r="N180" s="10" t="n">
        <v>26.85</v>
      </c>
    </row>
    <row r="181" customFormat="false" ht="15" hidden="false" customHeight="false" outlineLevel="0" collapsed="false">
      <c r="A181" s="8" t="s">
        <v>78</v>
      </c>
      <c r="B181" s="8" t="s">
        <v>79</v>
      </c>
      <c r="C181" s="8" t="s">
        <v>72</v>
      </c>
      <c r="D181" s="8" t="s">
        <v>65</v>
      </c>
      <c r="E181" s="8" t="n">
        <v>2024</v>
      </c>
      <c r="F181" s="8" t="s">
        <v>42</v>
      </c>
      <c r="G181" s="8" t="s">
        <v>59</v>
      </c>
      <c r="H181" s="9" t="n">
        <v>8289997.39</v>
      </c>
      <c r="I181" s="9" t="n">
        <v>4987483.66</v>
      </c>
      <c r="J181" s="9" t="n">
        <v>730885.46</v>
      </c>
      <c r="K181" s="9" t="n">
        <v>2571628.27</v>
      </c>
      <c r="L181" s="8" t="n">
        <v>127</v>
      </c>
      <c r="M181" s="8" t="n">
        <v>3919</v>
      </c>
      <c r="N181" s="10" t="n">
        <v>31.02</v>
      </c>
    </row>
    <row r="182" customFormat="false" ht="15" hidden="false" customHeight="false" outlineLevel="0" collapsed="false">
      <c r="A182" s="8" t="s">
        <v>80</v>
      </c>
      <c r="B182" s="8" t="s">
        <v>81</v>
      </c>
      <c r="C182" s="8" t="s">
        <v>72</v>
      </c>
      <c r="D182" s="8" t="s">
        <v>62</v>
      </c>
      <c r="E182" s="8" t="n">
        <v>2020</v>
      </c>
      <c r="F182" s="8" t="s">
        <v>36</v>
      </c>
      <c r="G182" s="8" t="s">
        <v>37</v>
      </c>
      <c r="H182" s="9" t="n">
        <v>6487981.87</v>
      </c>
      <c r="I182" s="9" t="n">
        <v>4643946.08</v>
      </c>
      <c r="J182" s="9" t="n">
        <v>325827.69</v>
      </c>
      <c r="K182" s="9" t="n">
        <v>1518208.1</v>
      </c>
      <c r="L182" s="8" t="n">
        <v>240</v>
      </c>
      <c r="M182" s="8" t="n">
        <v>3508</v>
      </c>
      <c r="N182" s="10" t="n">
        <v>23.4</v>
      </c>
    </row>
    <row r="183" customFormat="false" ht="15" hidden="false" customHeight="false" outlineLevel="0" collapsed="false">
      <c r="A183" s="8" t="s">
        <v>80</v>
      </c>
      <c r="B183" s="8" t="s">
        <v>81</v>
      </c>
      <c r="C183" s="8" t="s">
        <v>72</v>
      </c>
      <c r="D183" s="8" t="s">
        <v>62</v>
      </c>
      <c r="E183" s="8" t="n">
        <v>2020</v>
      </c>
      <c r="F183" s="8" t="s">
        <v>38</v>
      </c>
      <c r="G183" s="8" t="s">
        <v>39</v>
      </c>
      <c r="H183" s="9" t="n">
        <v>6856407.59</v>
      </c>
      <c r="I183" s="9" t="n">
        <v>4263658.09</v>
      </c>
      <c r="J183" s="9" t="n">
        <v>309578.23</v>
      </c>
      <c r="K183" s="9" t="n">
        <v>2283171.27</v>
      </c>
      <c r="L183" s="8" t="n">
        <v>240</v>
      </c>
      <c r="M183" s="8" t="n">
        <v>4874</v>
      </c>
      <c r="N183" s="10" t="n">
        <v>33.3</v>
      </c>
    </row>
    <row r="184" customFormat="false" ht="15" hidden="false" customHeight="false" outlineLevel="0" collapsed="false">
      <c r="A184" s="8" t="s">
        <v>80</v>
      </c>
      <c r="B184" s="8" t="s">
        <v>81</v>
      </c>
      <c r="C184" s="8" t="s">
        <v>72</v>
      </c>
      <c r="D184" s="8" t="s">
        <v>62</v>
      </c>
      <c r="E184" s="8" t="n">
        <v>2020</v>
      </c>
      <c r="F184" s="8" t="s">
        <v>40</v>
      </c>
      <c r="G184" s="8" t="s">
        <v>41</v>
      </c>
      <c r="H184" s="9" t="n">
        <v>6907148.11</v>
      </c>
      <c r="I184" s="9" t="n">
        <v>4607557.32</v>
      </c>
      <c r="J184" s="9" t="n">
        <v>541107.43</v>
      </c>
      <c r="K184" s="9" t="n">
        <v>1758483.36</v>
      </c>
      <c r="L184" s="8" t="n">
        <v>238</v>
      </c>
      <c r="M184" s="8" t="n">
        <v>6975</v>
      </c>
      <c r="N184" s="10" t="n">
        <v>25.46</v>
      </c>
    </row>
    <row r="185" customFormat="false" ht="15" hidden="false" customHeight="false" outlineLevel="0" collapsed="false">
      <c r="A185" s="8" t="s">
        <v>80</v>
      </c>
      <c r="B185" s="8" t="s">
        <v>81</v>
      </c>
      <c r="C185" s="8" t="s">
        <v>72</v>
      </c>
      <c r="D185" s="8" t="s">
        <v>62</v>
      </c>
      <c r="E185" s="8" t="n">
        <v>2020</v>
      </c>
      <c r="F185" s="8" t="s">
        <v>42</v>
      </c>
      <c r="G185" s="8" t="s">
        <v>43</v>
      </c>
      <c r="H185" s="9" t="n">
        <v>6127418.01</v>
      </c>
      <c r="I185" s="9" t="n">
        <v>3520778.61</v>
      </c>
      <c r="J185" s="9" t="n">
        <v>546575.36</v>
      </c>
      <c r="K185" s="9" t="n">
        <v>2060064.04</v>
      </c>
      <c r="L185" s="8" t="n">
        <v>237</v>
      </c>
      <c r="M185" s="8" t="n">
        <v>5540</v>
      </c>
      <c r="N185" s="10" t="n">
        <v>33.62</v>
      </c>
    </row>
    <row r="186" customFormat="false" ht="15" hidden="false" customHeight="false" outlineLevel="0" collapsed="false">
      <c r="A186" s="8" t="s">
        <v>80</v>
      </c>
      <c r="B186" s="8" t="s">
        <v>81</v>
      </c>
      <c r="C186" s="8" t="s">
        <v>72</v>
      </c>
      <c r="D186" s="8" t="s">
        <v>62</v>
      </c>
      <c r="E186" s="8" t="n">
        <v>2021</v>
      </c>
      <c r="F186" s="8" t="s">
        <v>36</v>
      </c>
      <c r="G186" s="8" t="s">
        <v>44</v>
      </c>
      <c r="H186" s="9" t="n">
        <v>8444160.53</v>
      </c>
      <c r="I186" s="9" t="n">
        <v>4894815.05</v>
      </c>
      <c r="J186" s="9" t="n">
        <v>274387.69</v>
      </c>
      <c r="K186" s="9" t="n">
        <v>3274957.79</v>
      </c>
      <c r="L186" s="8" t="n">
        <v>240</v>
      </c>
      <c r="M186" s="8" t="n">
        <v>5367</v>
      </c>
      <c r="N186" s="10" t="n">
        <v>38.78</v>
      </c>
    </row>
    <row r="187" customFormat="false" ht="15" hidden="false" customHeight="false" outlineLevel="0" collapsed="false">
      <c r="A187" s="8" t="s">
        <v>80</v>
      </c>
      <c r="B187" s="8" t="s">
        <v>81</v>
      </c>
      <c r="C187" s="8" t="s">
        <v>72</v>
      </c>
      <c r="D187" s="8" t="s">
        <v>62</v>
      </c>
      <c r="E187" s="8" t="n">
        <v>2021</v>
      </c>
      <c r="F187" s="8" t="s">
        <v>38</v>
      </c>
      <c r="G187" s="8" t="s">
        <v>45</v>
      </c>
      <c r="H187" s="9" t="n">
        <v>9276007.11</v>
      </c>
      <c r="I187" s="9" t="n">
        <v>5737495.15</v>
      </c>
      <c r="J187" s="9" t="n">
        <v>568654.51</v>
      </c>
      <c r="K187" s="9" t="n">
        <v>2969857.45</v>
      </c>
      <c r="L187" s="8" t="n">
        <v>240</v>
      </c>
      <c r="M187" s="8" t="n">
        <v>9044</v>
      </c>
      <c r="N187" s="10" t="n">
        <v>32.02</v>
      </c>
    </row>
    <row r="188" customFormat="false" ht="15" hidden="false" customHeight="false" outlineLevel="0" collapsed="false">
      <c r="A188" s="8" t="s">
        <v>80</v>
      </c>
      <c r="B188" s="8" t="s">
        <v>81</v>
      </c>
      <c r="C188" s="8" t="s">
        <v>72</v>
      </c>
      <c r="D188" s="8" t="s">
        <v>62</v>
      </c>
      <c r="E188" s="8" t="n">
        <v>2021</v>
      </c>
      <c r="F188" s="8" t="s">
        <v>40</v>
      </c>
      <c r="G188" s="8" t="s">
        <v>46</v>
      </c>
      <c r="H188" s="9" t="n">
        <v>8076649.07</v>
      </c>
      <c r="I188" s="9" t="n">
        <v>6008884.83</v>
      </c>
      <c r="J188" s="9" t="n">
        <v>568644.12</v>
      </c>
      <c r="K188" s="9" t="n">
        <v>1499120.12</v>
      </c>
      <c r="L188" s="8" t="n">
        <v>241</v>
      </c>
      <c r="M188" s="8" t="n">
        <v>5196</v>
      </c>
      <c r="N188" s="10" t="n">
        <v>18.56</v>
      </c>
    </row>
    <row r="189" customFormat="false" ht="15" hidden="false" customHeight="false" outlineLevel="0" collapsed="false">
      <c r="A189" s="8" t="s">
        <v>80</v>
      </c>
      <c r="B189" s="8" t="s">
        <v>81</v>
      </c>
      <c r="C189" s="8" t="s">
        <v>72</v>
      </c>
      <c r="D189" s="8" t="s">
        <v>62</v>
      </c>
      <c r="E189" s="8" t="n">
        <v>2021</v>
      </c>
      <c r="F189" s="8" t="s">
        <v>42</v>
      </c>
      <c r="G189" s="8" t="s">
        <v>47</v>
      </c>
      <c r="H189" s="9" t="n">
        <v>7570973.89</v>
      </c>
      <c r="I189" s="9" t="n">
        <v>4550619.45</v>
      </c>
      <c r="J189" s="9" t="n">
        <v>664737.64</v>
      </c>
      <c r="K189" s="9" t="n">
        <v>2355616.8</v>
      </c>
      <c r="L189" s="8" t="n">
        <v>239</v>
      </c>
      <c r="M189" s="8" t="n">
        <v>6230</v>
      </c>
      <c r="N189" s="10" t="n">
        <v>31.11</v>
      </c>
    </row>
    <row r="190" customFormat="false" ht="15" hidden="false" customHeight="false" outlineLevel="0" collapsed="false">
      <c r="A190" s="8" t="s">
        <v>80</v>
      </c>
      <c r="B190" s="8" t="s">
        <v>81</v>
      </c>
      <c r="C190" s="8" t="s">
        <v>72</v>
      </c>
      <c r="D190" s="8" t="s">
        <v>62</v>
      </c>
      <c r="E190" s="8" t="n">
        <v>2022</v>
      </c>
      <c r="F190" s="8" t="s">
        <v>36</v>
      </c>
      <c r="G190" s="8" t="s">
        <v>48</v>
      </c>
      <c r="H190" s="9" t="n">
        <v>8623816.83</v>
      </c>
      <c r="I190" s="9" t="n">
        <v>6348765.46</v>
      </c>
      <c r="J190" s="9" t="n">
        <v>274437.65</v>
      </c>
      <c r="K190" s="9" t="n">
        <v>2000613.72</v>
      </c>
      <c r="L190" s="8" t="n">
        <v>241</v>
      </c>
      <c r="M190" s="8" t="n">
        <v>7391</v>
      </c>
      <c r="N190" s="10" t="n">
        <v>23.2</v>
      </c>
    </row>
    <row r="191" customFormat="false" ht="15" hidden="false" customHeight="false" outlineLevel="0" collapsed="false">
      <c r="A191" s="8" t="s">
        <v>80</v>
      </c>
      <c r="B191" s="8" t="s">
        <v>81</v>
      </c>
      <c r="C191" s="8" t="s">
        <v>72</v>
      </c>
      <c r="D191" s="8" t="s">
        <v>62</v>
      </c>
      <c r="E191" s="8" t="n">
        <v>2022</v>
      </c>
      <c r="F191" s="8" t="s">
        <v>38</v>
      </c>
      <c r="G191" s="8" t="s">
        <v>49</v>
      </c>
      <c r="H191" s="9" t="n">
        <v>9804917.12</v>
      </c>
      <c r="I191" s="9" t="n">
        <v>6669761.49</v>
      </c>
      <c r="J191" s="9" t="n">
        <v>525855.98</v>
      </c>
      <c r="K191" s="9" t="n">
        <v>2609299.65</v>
      </c>
      <c r="L191" s="8" t="n">
        <v>243</v>
      </c>
      <c r="M191" s="8" t="n">
        <v>3923</v>
      </c>
      <c r="N191" s="10" t="n">
        <v>26.61</v>
      </c>
    </row>
    <row r="192" customFormat="false" ht="15" hidden="false" customHeight="false" outlineLevel="0" collapsed="false">
      <c r="A192" s="8" t="s">
        <v>80</v>
      </c>
      <c r="B192" s="8" t="s">
        <v>81</v>
      </c>
      <c r="C192" s="8" t="s">
        <v>72</v>
      </c>
      <c r="D192" s="8" t="s">
        <v>62</v>
      </c>
      <c r="E192" s="8" t="n">
        <v>2022</v>
      </c>
      <c r="F192" s="8" t="s">
        <v>40</v>
      </c>
      <c r="G192" s="8" t="s">
        <v>50</v>
      </c>
      <c r="H192" s="9" t="n">
        <v>8947270.44</v>
      </c>
      <c r="I192" s="9" t="n">
        <v>6267433.68</v>
      </c>
      <c r="J192" s="9" t="n">
        <v>801677.37</v>
      </c>
      <c r="K192" s="9" t="n">
        <v>1878159.39</v>
      </c>
      <c r="L192" s="8" t="n">
        <v>241</v>
      </c>
      <c r="M192" s="8" t="n">
        <v>9079</v>
      </c>
      <c r="N192" s="10" t="n">
        <v>20.99</v>
      </c>
    </row>
    <row r="193" customFormat="false" ht="15" hidden="false" customHeight="false" outlineLevel="0" collapsed="false">
      <c r="A193" s="8" t="s">
        <v>80</v>
      </c>
      <c r="B193" s="8" t="s">
        <v>81</v>
      </c>
      <c r="C193" s="8" t="s">
        <v>72</v>
      </c>
      <c r="D193" s="8" t="s">
        <v>62</v>
      </c>
      <c r="E193" s="8" t="n">
        <v>2022</v>
      </c>
      <c r="F193" s="8" t="s">
        <v>42</v>
      </c>
      <c r="G193" s="8" t="s">
        <v>51</v>
      </c>
      <c r="H193" s="9" t="n">
        <v>7741989.27</v>
      </c>
      <c r="I193" s="9" t="n">
        <v>4764471.54</v>
      </c>
      <c r="J193" s="9" t="n">
        <v>419990.68</v>
      </c>
      <c r="K193" s="9" t="n">
        <v>2557527.05</v>
      </c>
      <c r="L193" s="8" t="n">
        <v>238</v>
      </c>
      <c r="M193" s="8" t="n">
        <v>3693</v>
      </c>
      <c r="N193" s="10" t="n">
        <v>33.03</v>
      </c>
    </row>
    <row r="194" customFormat="false" ht="15" hidden="false" customHeight="false" outlineLevel="0" collapsed="false">
      <c r="A194" s="8" t="s">
        <v>80</v>
      </c>
      <c r="B194" s="8" t="s">
        <v>81</v>
      </c>
      <c r="C194" s="8" t="s">
        <v>72</v>
      </c>
      <c r="D194" s="8" t="s">
        <v>62</v>
      </c>
      <c r="E194" s="8" t="n">
        <v>2023</v>
      </c>
      <c r="F194" s="8" t="s">
        <v>36</v>
      </c>
      <c r="G194" s="8" t="s">
        <v>52</v>
      </c>
      <c r="H194" s="9" t="n">
        <v>9009053.39</v>
      </c>
      <c r="I194" s="9" t="n">
        <v>5489881.59</v>
      </c>
      <c r="J194" s="9" t="n">
        <v>473338.68</v>
      </c>
      <c r="K194" s="9" t="n">
        <v>3045833.12</v>
      </c>
      <c r="L194" s="8" t="n">
        <v>236</v>
      </c>
      <c r="M194" s="8" t="n">
        <v>4814</v>
      </c>
      <c r="N194" s="10" t="n">
        <v>33.81</v>
      </c>
    </row>
    <row r="195" customFormat="false" ht="15" hidden="false" customHeight="false" outlineLevel="0" collapsed="false">
      <c r="A195" s="8" t="s">
        <v>80</v>
      </c>
      <c r="B195" s="8" t="s">
        <v>81</v>
      </c>
      <c r="C195" s="8" t="s">
        <v>72</v>
      </c>
      <c r="D195" s="8" t="s">
        <v>62</v>
      </c>
      <c r="E195" s="8" t="n">
        <v>2023</v>
      </c>
      <c r="F195" s="8" t="s">
        <v>38</v>
      </c>
      <c r="G195" s="8" t="s">
        <v>53</v>
      </c>
      <c r="H195" s="9" t="n">
        <v>9942205.7</v>
      </c>
      <c r="I195" s="9" t="n">
        <v>6851108.74</v>
      </c>
      <c r="J195" s="9" t="n">
        <v>534595.99</v>
      </c>
      <c r="K195" s="9" t="n">
        <v>2556500.97</v>
      </c>
      <c r="L195" s="8" t="n">
        <v>233</v>
      </c>
      <c r="M195" s="8" t="n">
        <v>8258</v>
      </c>
      <c r="N195" s="10" t="n">
        <v>25.71</v>
      </c>
    </row>
    <row r="196" customFormat="false" ht="15" hidden="false" customHeight="false" outlineLevel="0" collapsed="false">
      <c r="A196" s="8" t="s">
        <v>80</v>
      </c>
      <c r="B196" s="8" t="s">
        <v>81</v>
      </c>
      <c r="C196" s="8" t="s">
        <v>72</v>
      </c>
      <c r="D196" s="8" t="s">
        <v>62</v>
      </c>
      <c r="E196" s="8" t="n">
        <v>2023</v>
      </c>
      <c r="F196" s="8" t="s">
        <v>40</v>
      </c>
      <c r="G196" s="8" t="s">
        <v>54</v>
      </c>
      <c r="H196" s="9" t="n">
        <v>8599580.42</v>
      </c>
      <c r="I196" s="9" t="n">
        <v>5019479.44</v>
      </c>
      <c r="J196" s="9" t="n">
        <v>560896.47</v>
      </c>
      <c r="K196" s="9" t="n">
        <v>3019204.51</v>
      </c>
      <c r="L196" s="8" t="n">
        <v>234</v>
      </c>
      <c r="M196" s="8" t="n">
        <v>5209</v>
      </c>
      <c r="N196" s="10" t="n">
        <v>35.11</v>
      </c>
    </row>
    <row r="197" customFormat="false" ht="15" hidden="false" customHeight="false" outlineLevel="0" collapsed="false">
      <c r="A197" s="8" t="s">
        <v>80</v>
      </c>
      <c r="B197" s="8" t="s">
        <v>81</v>
      </c>
      <c r="C197" s="8" t="s">
        <v>72</v>
      </c>
      <c r="D197" s="8" t="s">
        <v>62</v>
      </c>
      <c r="E197" s="8" t="n">
        <v>2023</v>
      </c>
      <c r="F197" s="8" t="s">
        <v>42</v>
      </c>
      <c r="G197" s="8" t="s">
        <v>55</v>
      </c>
      <c r="H197" s="9" t="n">
        <v>8344765.32</v>
      </c>
      <c r="I197" s="9" t="n">
        <v>5455944.06</v>
      </c>
      <c r="J197" s="9" t="n">
        <v>682601.96</v>
      </c>
      <c r="K197" s="9" t="n">
        <v>2206219.3</v>
      </c>
      <c r="L197" s="8" t="n">
        <v>234</v>
      </c>
      <c r="M197" s="8" t="n">
        <v>6046</v>
      </c>
      <c r="N197" s="10" t="n">
        <v>26.44</v>
      </c>
    </row>
    <row r="198" customFormat="false" ht="15" hidden="false" customHeight="false" outlineLevel="0" collapsed="false">
      <c r="A198" s="8" t="s">
        <v>80</v>
      </c>
      <c r="B198" s="8" t="s">
        <v>81</v>
      </c>
      <c r="C198" s="8" t="s">
        <v>72</v>
      </c>
      <c r="D198" s="8" t="s">
        <v>62</v>
      </c>
      <c r="E198" s="8" t="n">
        <v>2024</v>
      </c>
      <c r="F198" s="8" t="s">
        <v>36</v>
      </c>
      <c r="G198" s="8" t="s">
        <v>56</v>
      </c>
      <c r="H198" s="9" t="n">
        <v>8836910.52</v>
      </c>
      <c r="I198" s="9" t="n">
        <v>5702803.84</v>
      </c>
      <c r="J198" s="9" t="n">
        <v>395577.05</v>
      </c>
      <c r="K198" s="9" t="n">
        <v>2738529.63</v>
      </c>
      <c r="L198" s="8" t="n">
        <v>234</v>
      </c>
      <c r="M198" s="8" t="n">
        <v>4269</v>
      </c>
      <c r="N198" s="10" t="n">
        <v>30.99</v>
      </c>
    </row>
    <row r="199" customFormat="false" ht="15" hidden="false" customHeight="false" outlineLevel="0" collapsed="false">
      <c r="A199" s="8" t="s">
        <v>80</v>
      </c>
      <c r="B199" s="8" t="s">
        <v>81</v>
      </c>
      <c r="C199" s="8" t="s">
        <v>72</v>
      </c>
      <c r="D199" s="8" t="s">
        <v>62</v>
      </c>
      <c r="E199" s="8" t="n">
        <v>2024</v>
      </c>
      <c r="F199" s="8" t="s">
        <v>38</v>
      </c>
      <c r="G199" s="8" t="s">
        <v>57</v>
      </c>
      <c r="H199" s="9" t="n">
        <v>8494675.86</v>
      </c>
      <c r="I199" s="9" t="n">
        <v>4703047.7</v>
      </c>
      <c r="J199" s="9" t="n">
        <v>741852.12</v>
      </c>
      <c r="K199" s="9" t="n">
        <v>3049776.04</v>
      </c>
      <c r="L199" s="8" t="n">
        <v>233</v>
      </c>
      <c r="M199" s="8" t="n">
        <v>6997</v>
      </c>
      <c r="N199" s="10" t="n">
        <v>35.9</v>
      </c>
    </row>
    <row r="200" customFormat="false" ht="15" hidden="false" customHeight="false" outlineLevel="0" collapsed="false">
      <c r="A200" s="8" t="s">
        <v>80</v>
      </c>
      <c r="B200" s="8" t="s">
        <v>81</v>
      </c>
      <c r="C200" s="8" t="s">
        <v>72</v>
      </c>
      <c r="D200" s="8" t="s">
        <v>62</v>
      </c>
      <c r="E200" s="8" t="n">
        <v>2024</v>
      </c>
      <c r="F200" s="8" t="s">
        <v>40</v>
      </c>
      <c r="G200" s="8" t="s">
        <v>58</v>
      </c>
      <c r="H200" s="9" t="n">
        <v>8324113.97</v>
      </c>
      <c r="I200" s="9" t="n">
        <v>4902167.82</v>
      </c>
      <c r="J200" s="9" t="n">
        <v>489049.97</v>
      </c>
      <c r="K200" s="9" t="n">
        <v>2932896.18</v>
      </c>
      <c r="L200" s="8" t="n">
        <v>235</v>
      </c>
      <c r="M200" s="8" t="n">
        <v>4927</v>
      </c>
      <c r="N200" s="10" t="n">
        <v>35.23</v>
      </c>
    </row>
    <row r="201" customFormat="false" ht="15" hidden="false" customHeight="false" outlineLevel="0" collapsed="false">
      <c r="A201" s="8" t="s">
        <v>80</v>
      </c>
      <c r="B201" s="8" t="s">
        <v>81</v>
      </c>
      <c r="C201" s="8" t="s">
        <v>72</v>
      </c>
      <c r="D201" s="8" t="s">
        <v>62</v>
      </c>
      <c r="E201" s="8" t="n">
        <v>2024</v>
      </c>
      <c r="F201" s="8" t="s">
        <v>42</v>
      </c>
      <c r="G201" s="8" t="s">
        <v>59</v>
      </c>
      <c r="H201" s="9" t="n">
        <v>7730802.45</v>
      </c>
      <c r="I201" s="9" t="n">
        <v>5493548.26</v>
      </c>
      <c r="J201" s="9" t="n">
        <v>374459.95</v>
      </c>
      <c r="K201" s="9" t="n">
        <v>1862794.24</v>
      </c>
      <c r="L201" s="8" t="n">
        <v>233</v>
      </c>
      <c r="M201" s="8" t="n">
        <v>4207</v>
      </c>
      <c r="N201" s="10" t="n">
        <v>24.1</v>
      </c>
    </row>
    <row r="202" customFormat="false" ht="15" hidden="false" customHeight="false" outlineLevel="0" collapsed="false">
      <c r="A202" s="8" t="s">
        <v>82</v>
      </c>
      <c r="B202" s="8" t="s">
        <v>83</v>
      </c>
      <c r="C202" s="8" t="s">
        <v>84</v>
      </c>
      <c r="D202" s="8" t="s">
        <v>35</v>
      </c>
      <c r="E202" s="8" t="n">
        <v>2020</v>
      </c>
      <c r="F202" s="8" t="s">
        <v>36</v>
      </c>
      <c r="G202" s="8" t="s">
        <v>37</v>
      </c>
      <c r="H202" s="9" t="n">
        <v>2979394.44</v>
      </c>
      <c r="I202" s="9" t="n">
        <v>2150774.67</v>
      </c>
      <c r="J202" s="9" t="n">
        <v>111409.57</v>
      </c>
      <c r="K202" s="9" t="n">
        <v>717210.2</v>
      </c>
      <c r="L202" s="8" t="n">
        <v>486</v>
      </c>
      <c r="M202" s="8" t="n">
        <v>2288</v>
      </c>
      <c r="N202" s="10" t="n">
        <v>24.07</v>
      </c>
    </row>
    <row r="203" customFormat="false" ht="15" hidden="false" customHeight="false" outlineLevel="0" collapsed="false">
      <c r="A203" s="8" t="s">
        <v>82</v>
      </c>
      <c r="B203" s="8" t="s">
        <v>83</v>
      </c>
      <c r="C203" s="8" t="s">
        <v>84</v>
      </c>
      <c r="D203" s="8" t="s">
        <v>35</v>
      </c>
      <c r="E203" s="8" t="n">
        <v>2020</v>
      </c>
      <c r="F203" s="8" t="s">
        <v>38</v>
      </c>
      <c r="G203" s="8" t="s">
        <v>39</v>
      </c>
      <c r="H203" s="9" t="n">
        <v>3309988.64</v>
      </c>
      <c r="I203" s="9" t="n">
        <v>1990337.73</v>
      </c>
      <c r="J203" s="9" t="n">
        <v>211967.48</v>
      </c>
      <c r="K203" s="9" t="n">
        <v>1107683.43</v>
      </c>
      <c r="L203" s="8" t="n">
        <v>483</v>
      </c>
      <c r="M203" s="8" t="n">
        <v>1525</v>
      </c>
      <c r="N203" s="10" t="n">
        <v>33.46</v>
      </c>
    </row>
    <row r="204" customFormat="false" ht="15" hidden="false" customHeight="false" outlineLevel="0" collapsed="false">
      <c r="A204" s="8" t="s">
        <v>82</v>
      </c>
      <c r="B204" s="8" t="s">
        <v>83</v>
      </c>
      <c r="C204" s="8" t="s">
        <v>84</v>
      </c>
      <c r="D204" s="8" t="s">
        <v>35</v>
      </c>
      <c r="E204" s="8" t="n">
        <v>2020</v>
      </c>
      <c r="F204" s="8" t="s">
        <v>40</v>
      </c>
      <c r="G204" s="8" t="s">
        <v>41</v>
      </c>
      <c r="H204" s="9" t="n">
        <v>3082290.61</v>
      </c>
      <c r="I204" s="9" t="n">
        <v>1696852.77</v>
      </c>
      <c r="J204" s="9" t="n">
        <v>113238</v>
      </c>
      <c r="K204" s="9" t="n">
        <v>1272199.84</v>
      </c>
      <c r="L204" s="8" t="n">
        <v>481</v>
      </c>
      <c r="M204" s="8" t="n">
        <v>1703</v>
      </c>
      <c r="N204" s="10" t="n">
        <v>41.27</v>
      </c>
    </row>
    <row r="205" customFormat="false" ht="15" hidden="false" customHeight="false" outlineLevel="0" collapsed="false">
      <c r="A205" s="8" t="s">
        <v>82</v>
      </c>
      <c r="B205" s="8" t="s">
        <v>83</v>
      </c>
      <c r="C205" s="8" t="s">
        <v>84</v>
      </c>
      <c r="D205" s="8" t="s">
        <v>35</v>
      </c>
      <c r="E205" s="8" t="n">
        <v>2020</v>
      </c>
      <c r="F205" s="8" t="s">
        <v>42</v>
      </c>
      <c r="G205" s="8" t="s">
        <v>43</v>
      </c>
      <c r="H205" s="9" t="n">
        <v>3104409.1</v>
      </c>
      <c r="I205" s="9" t="n">
        <v>2086772</v>
      </c>
      <c r="J205" s="9" t="n">
        <v>132628.71</v>
      </c>
      <c r="K205" s="9" t="n">
        <v>885008.39</v>
      </c>
      <c r="L205" s="8" t="n">
        <v>478</v>
      </c>
      <c r="M205" s="8" t="n">
        <v>1332</v>
      </c>
      <c r="N205" s="10" t="n">
        <v>28.51</v>
      </c>
    </row>
    <row r="206" customFormat="false" ht="15" hidden="false" customHeight="false" outlineLevel="0" collapsed="false">
      <c r="A206" s="8" t="s">
        <v>82</v>
      </c>
      <c r="B206" s="8" t="s">
        <v>83</v>
      </c>
      <c r="C206" s="8" t="s">
        <v>84</v>
      </c>
      <c r="D206" s="8" t="s">
        <v>35</v>
      </c>
      <c r="E206" s="8" t="n">
        <v>2021</v>
      </c>
      <c r="F206" s="8" t="s">
        <v>36</v>
      </c>
      <c r="G206" s="8" t="s">
        <v>44</v>
      </c>
      <c r="H206" s="9" t="n">
        <v>3169976.55</v>
      </c>
      <c r="I206" s="9" t="n">
        <v>2265020.72</v>
      </c>
      <c r="J206" s="9" t="n">
        <v>147367.02</v>
      </c>
      <c r="K206" s="9" t="n">
        <v>757588.81</v>
      </c>
      <c r="L206" s="8" t="n">
        <v>478</v>
      </c>
      <c r="M206" s="8" t="n">
        <v>3293</v>
      </c>
      <c r="N206" s="10" t="n">
        <v>23.9</v>
      </c>
    </row>
    <row r="207" customFormat="false" ht="15" hidden="false" customHeight="false" outlineLevel="0" collapsed="false">
      <c r="A207" s="8" t="s">
        <v>82</v>
      </c>
      <c r="B207" s="8" t="s">
        <v>83</v>
      </c>
      <c r="C207" s="8" t="s">
        <v>84</v>
      </c>
      <c r="D207" s="8" t="s">
        <v>35</v>
      </c>
      <c r="E207" s="8" t="n">
        <v>2021</v>
      </c>
      <c r="F207" s="8" t="s">
        <v>38</v>
      </c>
      <c r="G207" s="8" t="s">
        <v>45</v>
      </c>
      <c r="H207" s="9" t="n">
        <v>3187345.34</v>
      </c>
      <c r="I207" s="9" t="n">
        <v>2023291.64</v>
      </c>
      <c r="J207" s="9" t="n">
        <v>124249.85</v>
      </c>
      <c r="K207" s="9" t="n">
        <v>1039803.85</v>
      </c>
      <c r="L207" s="8" t="n">
        <v>475</v>
      </c>
      <c r="M207" s="8" t="n">
        <v>1399</v>
      </c>
      <c r="N207" s="10" t="n">
        <v>32.62</v>
      </c>
    </row>
    <row r="208" customFormat="false" ht="15" hidden="false" customHeight="false" outlineLevel="0" collapsed="false">
      <c r="A208" s="8" t="s">
        <v>82</v>
      </c>
      <c r="B208" s="8" t="s">
        <v>83</v>
      </c>
      <c r="C208" s="8" t="s">
        <v>84</v>
      </c>
      <c r="D208" s="8" t="s">
        <v>35</v>
      </c>
      <c r="E208" s="8" t="n">
        <v>2021</v>
      </c>
      <c r="F208" s="8" t="s">
        <v>40</v>
      </c>
      <c r="G208" s="8" t="s">
        <v>46</v>
      </c>
      <c r="H208" s="9" t="n">
        <v>3073089.2</v>
      </c>
      <c r="I208" s="9" t="n">
        <v>2084766.19</v>
      </c>
      <c r="J208" s="9" t="n">
        <v>96551.28</v>
      </c>
      <c r="K208" s="9" t="n">
        <v>891771.73</v>
      </c>
      <c r="L208" s="8" t="n">
        <v>477</v>
      </c>
      <c r="M208" s="8" t="n">
        <v>2573</v>
      </c>
      <c r="N208" s="10" t="n">
        <v>29.02</v>
      </c>
    </row>
    <row r="209" customFormat="false" ht="15" hidden="false" customHeight="false" outlineLevel="0" collapsed="false">
      <c r="A209" s="8" t="s">
        <v>82</v>
      </c>
      <c r="B209" s="8" t="s">
        <v>83</v>
      </c>
      <c r="C209" s="8" t="s">
        <v>84</v>
      </c>
      <c r="D209" s="8" t="s">
        <v>35</v>
      </c>
      <c r="E209" s="8" t="n">
        <v>2021</v>
      </c>
      <c r="F209" s="8" t="s">
        <v>42</v>
      </c>
      <c r="G209" s="8" t="s">
        <v>47</v>
      </c>
      <c r="H209" s="9" t="n">
        <v>3192854.01</v>
      </c>
      <c r="I209" s="9" t="n">
        <v>1793397.11</v>
      </c>
      <c r="J209" s="9" t="n">
        <v>216861.61</v>
      </c>
      <c r="K209" s="9" t="n">
        <v>1182595.29</v>
      </c>
      <c r="L209" s="8" t="n">
        <v>475</v>
      </c>
      <c r="M209" s="8" t="n">
        <v>1759</v>
      </c>
      <c r="N209" s="10" t="n">
        <v>37.04</v>
      </c>
    </row>
    <row r="210" customFormat="false" ht="15" hidden="false" customHeight="false" outlineLevel="0" collapsed="false">
      <c r="A210" s="8" t="s">
        <v>82</v>
      </c>
      <c r="B210" s="8" t="s">
        <v>83</v>
      </c>
      <c r="C210" s="8" t="s">
        <v>84</v>
      </c>
      <c r="D210" s="8" t="s">
        <v>35</v>
      </c>
      <c r="E210" s="8" t="n">
        <v>2022</v>
      </c>
      <c r="F210" s="8" t="s">
        <v>36</v>
      </c>
      <c r="G210" s="8" t="s">
        <v>48</v>
      </c>
      <c r="H210" s="9" t="n">
        <v>2922523.29</v>
      </c>
      <c r="I210" s="9" t="n">
        <v>2012119.96</v>
      </c>
      <c r="J210" s="9" t="n">
        <v>213507.47</v>
      </c>
      <c r="K210" s="9" t="n">
        <v>696895.86</v>
      </c>
      <c r="L210" s="8" t="n">
        <v>478</v>
      </c>
      <c r="M210" s="8" t="n">
        <v>1638</v>
      </c>
      <c r="N210" s="10" t="n">
        <v>23.85</v>
      </c>
    </row>
    <row r="211" customFormat="false" ht="15" hidden="false" customHeight="false" outlineLevel="0" collapsed="false">
      <c r="A211" s="8" t="s">
        <v>82</v>
      </c>
      <c r="B211" s="8" t="s">
        <v>83</v>
      </c>
      <c r="C211" s="8" t="s">
        <v>84</v>
      </c>
      <c r="D211" s="8" t="s">
        <v>35</v>
      </c>
      <c r="E211" s="8" t="n">
        <v>2022</v>
      </c>
      <c r="F211" s="8" t="s">
        <v>38</v>
      </c>
      <c r="G211" s="8" t="s">
        <v>49</v>
      </c>
      <c r="H211" s="9" t="n">
        <v>3334415.55</v>
      </c>
      <c r="I211" s="9" t="n">
        <v>2010582.85</v>
      </c>
      <c r="J211" s="9" t="n">
        <v>254607.18</v>
      </c>
      <c r="K211" s="9" t="n">
        <v>1069225.52</v>
      </c>
      <c r="L211" s="8" t="n">
        <v>475</v>
      </c>
      <c r="M211" s="8" t="n">
        <v>2249</v>
      </c>
      <c r="N211" s="10" t="n">
        <v>32.07</v>
      </c>
    </row>
    <row r="212" customFormat="false" ht="15" hidden="false" customHeight="false" outlineLevel="0" collapsed="false">
      <c r="A212" s="8" t="s">
        <v>82</v>
      </c>
      <c r="B212" s="8" t="s">
        <v>83</v>
      </c>
      <c r="C212" s="8" t="s">
        <v>84</v>
      </c>
      <c r="D212" s="8" t="s">
        <v>35</v>
      </c>
      <c r="E212" s="8" t="n">
        <v>2022</v>
      </c>
      <c r="F212" s="8" t="s">
        <v>40</v>
      </c>
      <c r="G212" s="8" t="s">
        <v>50</v>
      </c>
      <c r="H212" s="9" t="n">
        <v>3092180.21</v>
      </c>
      <c r="I212" s="9" t="n">
        <v>2021704.4</v>
      </c>
      <c r="J212" s="9" t="n">
        <v>105645.67</v>
      </c>
      <c r="K212" s="9" t="n">
        <v>964830.14</v>
      </c>
      <c r="L212" s="8" t="n">
        <v>473</v>
      </c>
      <c r="M212" s="8" t="n">
        <v>1346</v>
      </c>
      <c r="N212" s="10" t="n">
        <v>31.2</v>
      </c>
    </row>
    <row r="213" customFormat="false" ht="15" hidden="false" customHeight="false" outlineLevel="0" collapsed="false">
      <c r="A213" s="8" t="s">
        <v>82</v>
      </c>
      <c r="B213" s="8" t="s">
        <v>83</v>
      </c>
      <c r="C213" s="8" t="s">
        <v>84</v>
      </c>
      <c r="D213" s="8" t="s">
        <v>35</v>
      </c>
      <c r="E213" s="8" t="n">
        <v>2022</v>
      </c>
      <c r="F213" s="8" t="s">
        <v>42</v>
      </c>
      <c r="G213" s="8" t="s">
        <v>51</v>
      </c>
      <c r="H213" s="9" t="n">
        <v>2731857.65</v>
      </c>
      <c r="I213" s="9" t="n">
        <v>1628640.21</v>
      </c>
      <c r="J213" s="9" t="n">
        <v>193437.15</v>
      </c>
      <c r="K213" s="9" t="n">
        <v>909780.29</v>
      </c>
      <c r="L213" s="8" t="n">
        <v>473</v>
      </c>
      <c r="M213" s="8" t="n">
        <v>3073</v>
      </c>
      <c r="N213" s="10" t="n">
        <v>33.3</v>
      </c>
    </row>
    <row r="214" customFormat="false" ht="15" hidden="false" customHeight="false" outlineLevel="0" collapsed="false">
      <c r="A214" s="8" t="s">
        <v>82</v>
      </c>
      <c r="B214" s="8" t="s">
        <v>83</v>
      </c>
      <c r="C214" s="8" t="s">
        <v>84</v>
      </c>
      <c r="D214" s="8" t="s">
        <v>35</v>
      </c>
      <c r="E214" s="8" t="n">
        <v>2023</v>
      </c>
      <c r="F214" s="8" t="s">
        <v>36</v>
      </c>
      <c r="G214" s="8" t="s">
        <v>52</v>
      </c>
      <c r="H214" s="9" t="n">
        <v>3356781.78</v>
      </c>
      <c r="I214" s="9" t="n">
        <v>2158548.72</v>
      </c>
      <c r="J214" s="9" t="n">
        <v>247861.51</v>
      </c>
      <c r="K214" s="9" t="n">
        <v>950371.55</v>
      </c>
      <c r="L214" s="8" t="n">
        <v>474</v>
      </c>
      <c r="M214" s="8" t="n">
        <v>1382</v>
      </c>
      <c r="N214" s="10" t="n">
        <v>28.31</v>
      </c>
    </row>
    <row r="215" customFormat="false" ht="15" hidden="false" customHeight="false" outlineLevel="0" collapsed="false">
      <c r="A215" s="8" t="s">
        <v>82</v>
      </c>
      <c r="B215" s="8" t="s">
        <v>83</v>
      </c>
      <c r="C215" s="8" t="s">
        <v>84</v>
      </c>
      <c r="D215" s="8" t="s">
        <v>35</v>
      </c>
      <c r="E215" s="8" t="n">
        <v>2023</v>
      </c>
      <c r="F215" s="8" t="s">
        <v>38</v>
      </c>
      <c r="G215" s="8" t="s">
        <v>53</v>
      </c>
      <c r="H215" s="9" t="n">
        <v>3409680.68</v>
      </c>
      <c r="I215" s="9" t="n">
        <v>2390075.56</v>
      </c>
      <c r="J215" s="9" t="n">
        <v>232191.08</v>
      </c>
      <c r="K215" s="9" t="n">
        <v>787414.04</v>
      </c>
      <c r="L215" s="8" t="n">
        <v>477</v>
      </c>
      <c r="M215" s="8" t="n">
        <v>2245</v>
      </c>
      <c r="N215" s="10" t="n">
        <v>23.09</v>
      </c>
    </row>
    <row r="216" customFormat="false" ht="15" hidden="false" customHeight="false" outlineLevel="0" collapsed="false">
      <c r="A216" s="8" t="s">
        <v>82</v>
      </c>
      <c r="B216" s="8" t="s">
        <v>83</v>
      </c>
      <c r="C216" s="8" t="s">
        <v>84</v>
      </c>
      <c r="D216" s="8" t="s">
        <v>35</v>
      </c>
      <c r="E216" s="8" t="n">
        <v>2023</v>
      </c>
      <c r="F216" s="8" t="s">
        <v>40</v>
      </c>
      <c r="G216" s="8" t="s">
        <v>54</v>
      </c>
      <c r="H216" s="9" t="n">
        <v>3171793.46</v>
      </c>
      <c r="I216" s="9" t="n">
        <v>2249087</v>
      </c>
      <c r="J216" s="9" t="n">
        <v>221691.56</v>
      </c>
      <c r="K216" s="9" t="n">
        <v>701014.9</v>
      </c>
      <c r="L216" s="8" t="n">
        <v>477</v>
      </c>
      <c r="M216" s="8" t="n">
        <v>1275</v>
      </c>
      <c r="N216" s="10" t="n">
        <v>22.1</v>
      </c>
    </row>
    <row r="217" customFormat="false" ht="15" hidden="false" customHeight="false" outlineLevel="0" collapsed="false">
      <c r="A217" s="8" t="s">
        <v>82</v>
      </c>
      <c r="B217" s="8" t="s">
        <v>83</v>
      </c>
      <c r="C217" s="8" t="s">
        <v>84</v>
      </c>
      <c r="D217" s="8" t="s">
        <v>35</v>
      </c>
      <c r="E217" s="8" t="n">
        <v>2023</v>
      </c>
      <c r="F217" s="8" t="s">
        <v>42</v>
      </c>
      <c r="G217" s="8" t="s">
        <v>55</v>
      </c>
      <c r="H217" s="9" t="n">
        <v>3003897.15</v>
      </c>
      <c r="I217" s="9" t="n">
        <v>2055601.93</v>
      </c>
      <c r="J217" s="9" t="n">
        <v>134032.1</v>
      </c>
      <c r="K217" s="9" t="n">
        <v>814263.12</v>
      </c>
      <c r="L217" s="8" t="n">
        <v>474</v>
      </c>
      <c r="M217" s="8" t="n">
        <v>1404</v>
      </c>
      <c r="N217" s="10" t="n">
        <v>27.11</v>
      </c>
    </row>
    <row r="218" customFormat="false" ht="15" hidden="false" customHeight="false" outlineLevel="0" collapsed="false">
      <c r="A218" s="8" t="s">
        <v>82</v>
      </c>
      <c r="B218" s="8" t="s">
        <v>83</v>
      </c>
      <c r="C218" s="8" t="s">
        <v>84</v>
      </c>
      <c r="D218" s="8" t="s">
        <v>35</v>
      </c>
      <c r="E218" s="8" t="n">
        <v>2024</v>
      </c>
      <c r="F218" s="8" t="s">
        <v>36</v>
      </c>
      <c r="G218" s="8" t="s">
        <v>56</v>
      </c>
      <c r="H218" s="9" t="n">
        <v>3368448.81</v>
      </c>
      <c r="I218" s="9" t="n">
        <v>1895162.76</v>
      </c>
      <c r="J218" s="9" t="n">
        <v>133249.91</v>
      </c>
      <c r="K218" s="9" t="n">
        <v>1340036.14</v>
      </c>
      <c r="L218" s="8" t="n">
        <v>471</v>
      </c>
      <c r="M218" s="8" t="n">
        <v>2439</v>
      </c>
      <c r="N218" s="10" t="n">
        <v>39.78</v>
      </c>
    </row>
    <row r="219" customFormat="false" ht="15" hidden="false" customHeight="false" outlineLevel="0" collapsed="false">
      <c r="A219" s="8" t="s">
        <v>82</v>
      </c>
      <c r="B219" s="8" t="s">
        <v>83</v>
      </c>
      <c r="C219" s="8" t="s">
        <v>84</v>
      </c>
      <c r="D219" s="8" t="s">
        <v>35</v>
      </c>
      <c r="E219" s="8" t="n">
        <v>2024</v>
      </c>
      <c r="F219" s="8" t="s">
        <v>38</v>
      </c>
      <c r="G219" s="8" t="s">
        <v>57</v>
      </c>
      <c r="H219" s="9" t="n">
        <v>3562783.61</v>
      </c>
      <c r="I219" s="9" t="n">
        <v>2627166.58</v>
      </c>
      <c r="J219" s="9" t="n">
        <v>125618.64</v>
      </c>
      <c r="K219" s="9" t="n">
        <v>809998.39</v>
      </c>
      <c r="L219" s="8" t="n">
        <v>474</v>
      </c>
      <c r="M219" s="8" t="n">
        <v>2415</v>
      </c>
      <c r="N219" s="10" t="n">
        <v>22.73</v>
      </c>
    </row>
    <row r="220" customFormat="false" ht="15" hidden="false" customHeight="false" outlineLevel="0" collapsed="false">
      <c r="A220" s="8" t="s">
        <v>82</v>
      </c>
      <c r="B220" s="8" t="s">
        <v>83</v>
      </c>
      <c r="C220" s="8" t="s">
        <v>84</v>
      </c>
      <c r="D220" s="8" t="s">
        <v>35</v>
      </c>
      <c r="E220" s="8" t="n">
        <v>2024</v>
      </c>
      <c r="F220" s="8" t="s">
        <v>40</v>
      </c>
      <c r="G220" s="8" t="s">
        <v>58</v>
      </c>
      <c r="H220" s="9" t="n">
        <v>3468968.52</v>
      </c>
      <c r="I220" s="9" t="n">
        <v>2301019.11</v>
      </c>
      <c r="J220" s="9" t="n">
        <v>223662.59</v>
      </c>
      <c r="K220" s="9" t="n">
        <v>944286.82</v>
      </c>
      <c r="L220" s="8" t="n">
        <v>476</v>
      </c>
      <c r="M220" s="8" t="n">
        <v>2351</v>
      </c>
      <c r="N220" s="10" t="n">
        <v>27.22</v>
      </c>
    </row>
    <row r="221" customFormat="false" ht="15" hidden="false" customHeight="false" outlineLevel="0" collapsed="false">
      <c r="A221" s="8" t="s">
        <v>82</v>
      </c>
      <c r="B221" s="8" t="s">
        <v>83</v>
      </c>
      <c r="C221" s="8" t="s">
        <v>84</v>
      </c>
      <c r="D221" s="8" t="s">
        <v>35</v>
      </c>
      <c r="E221" s="8" t="n">
        <v>2024</v>
      </c>
      <c r="F221" s="8" t="s">
        <v>42</v>
      </c>
      <c r="G221" s="8" t="s">
        <v>59</v>
      </c>
      <c r="H221" s="9" t="n">
        <v>2756632.97</v>
      </c>
      <c r="I221" s="9" t="n">
        <v>1725995.88</v>
      </c>
      <c r="J221" s="9" t="n">
        <v>217903.52</v>
      </c>
      <c r="K221" s="9" t="n">
        <v>812733.57</v>
      </c>
      <c r="L221" s="8" t="n">
        <v>473</v>
      </c>
      <c r="M221" s="8" t="n">
        <v>2091</v>
      </c>
      <c r="N221" s="10" t="n">
        <v>29.48</v>
      </c>
    </row>
    <row r="222" customFormat="false" ht="15" hidden="false" customHeight="false" outlineLevel="0" collapsed="false">
      <c r="A222" s="8" t="s">
        <v>85</v>
      </c>
      <c r="B222" s="8" t="s">
        <v>86</v>
      </c>
      <c r="C222" s="8" t="s">
        <v>84</v>
      </c>
      <c r="D222" s="8" t="s">
        <v>65</v>
      </c>
      <c r="E222" s="8" t="n">
        <v>2020</v>
      </c>
      <c r="F222" s="8" t="s">
        <v>36</v>
      </c>
      <c r="G222" s="8" t="s">
        <v>37</v>
      </c>
      <c r="H222" s="9" t="n">
        <v>2706220.99</v>
      </c>
      <c r="I222" s="9" t="n">
        <v>1798576.89</v>
      </c>
      <c r="J222" s="9" t="n">
        <v>236630.27</v>
      </c>
      <c r="K222" s="9" t="n">
        <v>671013.83</v>
      </c>
      <c r="L222" s="8" t="n">
        <v>37</v>
      </c>
      <c r="M222" s="8" t="n">
        <v>1675</v>
      </c>
      <c r="N222" s="10" t="n">
        <v>24.8</v>
      </c>
    </row>
    <row r="223" customFormat="false" ht="15" hidden="false" customHeight="false" outlineLevel="0" collapsed="false">
      <c r="A223" s="8" t="s">
        <v>85</v>
      </c>
      <c r="B223" s="8" t="s">
        <v>86</v>
      </c>
      <c r="C223" s="8" t="s">
        <v>84</v>
      </c>
      <c r="D223" s="8" t="s">
        <v>65</v>
      </c>
      <c r="E223" s="8" t="n">
        <v>2020</v>
      </c>
      <c r="F223" s="8" t="s">
        <v>38</v>
      </c>
      <c r="G223" s="8" t="s">
        <v>39</v>
      </c>
      <c r="H223" s="9" t="n">
        <v>3116745.04</v>
      </c>
      <c r="I223" s="9" t="n">
        <v>2017819.34</v>
      </c>
      <c r="J223" s="9" t="n">
        <v>266062.29</v>
      </c>
      <c r="K223" s="9" t="n">
        <v>832863.41</v>
      </c>
      <c r="L223" s="8" t="n">
        <v>36</v>
      </c>
      <c r="M223" s="8" t="n">
        <v>2840</v>
      </c>
      <c r="N223" s="10" t="n">
        <v>26.72</v>
      </c>
    </row>
    <row r="224" customFormat="false" ht="15" hidden="false" customHeight="false" outlineLevel="0" collapsed="false">
      <c r="A224" s="8" t="s">
        <v>85</v>
      </c>
      <c r="B224" s="8" t="s">
        <v>86</v>
      </c>
      <c r="C224" s="8" t="s">
        <v>84</v>
      </c>
      <c r="D224" s="8" t="s">
        <v>65</v>
      </c>
      <c r="E224" s="8" t="n">
        <v>2020</v>
      </c>
      <c r="F224" s="8" t="s">
        <v>40</v>
      </c>
      <c r="G224" s="8" t="s">
        <v>41</v>
      </c>
      <c r="H224" s="9" t="n">
        <v>2695661.91</v>
      </c>
      <c r="I224" s="9" t="n">
        <v>1755473.02</v>
      </c>
      <c r="J224" s="9" t="n">
        <v>158219.29</v>
      </c>
      <c r="K224" s="9" t="n">
        <v>781969.6</v>
      </c>
      <c r="L224" s="8" t="n">
        <v>36</v>
      </c>
      <c r="M224" s="8" t="n">
        <v>1271</v>
      </c>
      <c r="N224" s="10" t="n">
        <v>29.01</v>
      </c>
    </row>
    <row r="225" customFormat="false" ht="15" hidden="false" customHeight="false" outlineLevel="0" collapsed="false">
      <c r="A225" s="8" t="s">
        <v>85</v>
      </c>
      <c r="B225" s="8" t="s">
        <v>86</v>
      </c>
      <c r="C225" s="8" t="s">
        <v>84</v>
      </c>
      <c r="D225" s="8" t="s">
        <v>65</v>
      </c>
      <c r="E225" s="8" t="n">
        <v>2020</v>
      </c>
      <c r="F225" s="8" t="s">
        <v>42</v>
      </c>
      <c r="G225" s="8" t="s">
        <v>43</v>
      </c>
      <c r="H225" s="9" t="n">
        <v>2593703.29</v>
      </c>
      <c r="I225" s="9" t="n">
        <v>1689093.17</v>
      </c>
      <c r="J225" s="9" t="n">
        <v>126336.61</v>
      </c>
      <c r="K225" s="9" t="n">
        <v>778273.51</v>
      </c>
      <c r="L225" s="8" t="n">
        <v>37</v>
      </c>
      <c r="M225" s="8" t="n">
        <v>1372</v>
      </c>
      <c r="N225" s="10" t="n">
        <v>30.01</v>
      </c>
    </row>
    <row r="226" customFormat="false" ht="15" hidden="false" customHeight="false" outlineLevel="0" collapsed="false">
      <c r="A226" s="8" t="s">
        <v>85</v>
      </c>
      <c r="B226" s="8" t="s">
        <v>86</v>
      </c>
      <c r="C226" s="8" t="s">
        <v>84</v>
      </c>
      <c r="D226" s="8" t="s">
        <v>65</v>
      </c>
      <c r="E226" s="8" t="n">
        <v>2021</v>
      </c>
      <c r="F226" s="8" t="s">
        <v>36</v>
      </c>
      <c r="G226" s="8" t="s">
        <v>44</v>
      </c>
      <c r="H226" s="9" t="n">
        <v>2857180.95</v>
      </c>
      <c r="I226" s="9" t="n">
        <v>1792287.24</v>
      </c>
      <c r="J226" s="9" t="n">
        <v>148253.1</v>
      </c>
      <c r="K226" s="9" t="n">
        <v>916640.61</v>
      </c>
      <c r="L226" s="8" t="n">
        <v>39</v>
      </c>
      <c r="M226" s="8" t="n">
        <v>2463</v>
      </c>
      <c r="N226" s="10" t="n">
        <v>32.08</v>
      </c>
    </row>
    <row r="227" customFormat="false" ht="15" hidden="false" customHeight="false" outlineLevel="0" collapsed="false">
      <c r="A227" s="8" t="s">
        <v>85</v>
      </c>
      <c r="B227" s="8" t="s">
        <v>86</v>
      </c>
      <c r="C227" s="8" t="s">
        <v>84</v>
      </c>
      <c r="D227" s="8" t="s">
        <v>65</v>
      </c>
      <c r="E227" s="8" t="n">
        <v>2021</v>
      </c>
      <c r="F227" s="8" t="s">
        <v>38</v>
      </c>
      <c r="G227" s="8" t="s">
        <v>45</v>
      </c>
      <c r="H227" s="9" t="n">
        <v>3144451.14</v>
      </c>
      <c r="I227" s="9" t="n">
        <v>1765785.75</v>
      </c>
      <c r="J227" s="9" t="n">
        <v>282032.05</v>
      </c>
      <c r="K227" s="9" t="n">
        <v>1096633.34</v>
      </c>
      <c r="L227" s="8" t="n">
        <v>41</v>
      </c>
      <c r="M227" s="8" t="n">
        <v>3124</v>
      </c>
      <c r="N227" s="10" t="n">
        <v>34.88</v>
      </c>
    </row>
    <row r="228" customFormat="false" ht="15" hidden="false" customHeight="false" outlineLevel="0" collapsed="false">
      <c r="A228" s="8" t="s">
        <v>85</v>
      </c>
      <c r="B228" s="8" t="s">
        <v>86</v>
      </c>
      <c r="C228" s="8" t="s">
        <v>84</v>
      </c>
      <c r="D228" s="8" t="s">
        <v>65</v>
      </c>
      <c r="E228" s="8" t="n">
        <v>2021</v>
      </c>
      <c r="F228" s="8" t="s">
        <v>40</v>
      </c>
      <c r="G228" s="8" t="s">
        <v>46</v>
      </c>
      <c r="H228" s="9" t="n">
        <v>2781752.5</v>
      </c>
      <c r="I228" s="9" t="n">
        <v>1873817.23</v>
      </c>
      <c r="J228" s="9" t="n">
        <v>198887.19</v>
      </c>
      <c r="K228" s="9" t="n">
        <v>709048.08</v>
      </c>
      <c r="L228" s="8" t="n">
        <v>41</v>
      </c>
      <c r="M228" s="8" t="n">
        <v>2326</v>
      </c>
      <c r="N228" s="10" t="n">
        <v>25.49</v>
      </c>
    </row>
    <row r="229" customFormat="false" ht="15" hidden="false" customHeight="false" outlineLevel="0" collapsed="false">
      <c r="A229" s="8" t="s">
        <v>85</v>
      </c>
      <c r="B229" s="8" t="s">
        <v>86</v>
      </c>
      <c r="C229" s="8" t="s">
        <v>84</v>
      </c>
      <c r="D229" s="8" t="s">
        <v>65</v>
      </c>
      <c r="E229" s="8" t="n">
        <v>2021</v>
      </c>
      <c r="F229" s="8" t="s">
        <v>42</v>
      </c>
      <c r="G229" s="8" t="s">
        <v>47</v>
      </c>
      <c r="H229" s="9" t="n">
        <v>2765562.57</v>
      </c>
      <c r="I229" s="9" t="n">
        <v>1866144.01</v>
      </c>
      <c r="J229" s="9" t="n">
        <v>133784.69</v>
      </c>
      <c r="K229" s="9" t="n">
        <v>765633.87</v>
      </c>
      <c r="L229" s="8" t="n">
        <v>41</v>
      </c>
      <c r="M229" s="8" t="n">
        <v>2705</v>
      </c>
      <c r="N229" s="10" t="n">
        <v>27.68</v>
      </c>
    </row>
    <row r="230" customFormat="false" ht="15" hidden="false" customHeight="false" outlineLevel="0" collapsed="false">
      <c r="A230" s="8" t="s">
        <v>85</v>
      </c>
      <c r="B230" s="8" t="s">
        <v>86</v>
      </c>
      <c r="C230" s="8" t="s">
        <v>84</v>
      </c>
      <c r="D230" s="8" t="s">
        <v>65</v>
      </c>
      <c r="E230" s="8" t="n">
        <v>2022</v>
      </c>
      <c r="F230" s="8" t="s">
        <v>36</v>
      </c>
      <c r="G230" s="8" t="s">
        <v>48</v>
      </c>
      <c r="H230" s="9" t="n">
        <v>3188412.24</v>
      </c>
      <c r="I230" s="9" t="n">
        <v>2088731.81</v>
      </c>
      <c r="J230" s="9" t="n">
        <v>163419.44</v>
      </c>
      <c r="K230" s="9" t="n">
        <v>936260.99</v>
      </c>
      <c r="L230" s="8" t="n">
        <v>42</v>
      </c>
      <c r="M230" s="8" t="n">
        <v>2186</v>
      </c>
      <c r="N230" s="10" t="n">
        <v>29.36</v>
      </c>
    </row>
    <row r="231" customFormat="false" ht="15" hidden="false" customHeight="false" outlineLevel="0" collapsed="false">
      <c r="A231" s="8" t="s">
        <v>85</v>
      </c>
      <c r="B231" s="8" t="s">
        <v>86</v>
      </c>
      <c r="C231" s="8" t="s">
        <v>84</v>
      </c>
      <c r="D231" s="8" t="s">
        <v>65</v>
      </c>
      <c r="E231" s="8" t="n">
        <v>2022</v>
      </c>
      <c r="F231" s="8" t="s">
        <v>38</v>
      </c>
      <c r="G231" s="8" t="s">
        <v>49</v>
      </c>
      <c r="H231" s="9" t="n">
        <v>3183423.58</v>
      </c>
      <c r="I231" s="9" t="n">
        <v>2015841.86</v>
      </c>
      <c r="J231" s="9" t="n">
        <v>97609.74</v>
      </c>
      <c r="K231" s="9" t="n">
        <v>1069971.98</v>
      </c>
      <c r="L231" s="8" t="n">
        <v>40</v>
      </c>
      <c r="M231" s="8" t="n">
        <v>2563</v>
      </c>
      <c r="N231" s="10" t="n">
        <v>33.61</v>
      </c>
    </row>
    <row r="232" customFormat="false" ht="15" hidden="false" customHeight="false" outlineLevel="0" collapsed="false">
      <c r="A232" s="8" t="s">
        <v>85</v>
      </c>
      <c r="B232" s="8" t="s">
        <v>86</v>
      </c>
      <c r="C232" s="8" t="s">
        <v>84</v>
      </c>
      <c r="D232" s="8" t="s">
        <v>65</v>
      </c>
      <c r="E232" s="8" t="n">
        <v>2022</v>
      </c>
      <c r="F232" s="8" t="s">
        <v>40</v>
      </c>
      <c r="G232" s="8" t="s">
        <v>50</v>
      </c>
      <c r="H232" s="9" t="n">
        <v>2832809.39</v>
      </c>
      <c r="I232" s="9" t="n">
        <v>1741328.15</v>
      </c>
      <c r="J232" s="9" t="n">
        <v>190186.02</v>
      </c>
      <c r="K232" s="9" t="n">
        <v>901295.22</v>
      </c>
      <c r="L232" s="8" t="n">
        <v>41</v>
      </c>
      <c r="M232" s="8" t="n">
        <v>2489</v>
      </c>
      <c r="N232" s="10" t="n">
        <v>31.82</v>
      </c>
    </row>
    <row r="233" customFormat="false" ht="15" hidden="false" customHeight="false" outlineLevel="0" collapsed="false">
      <c r="A233" s="8" t="s">
        <v>85</v>
      </c>
      <c r="B233" s="8" t="s">
        <v>86</v>
      </c>
      <c r="C233" s="8" t="s">
        <v>84</v>
      </c>
      <c r="D233" s="8" t="s">
        <v>65</v>
      </c>
      <c r="E233" s="8" t="n">
        <v>2022</v>
      </c>
      <c r="F233" s="8" t="s">
        <v>42</v>
      </c>
      <c r="G233" s="8" t="s">
        <v>51</v>
      </c>
      <c r="H233" s="9" t="n">
        <v>2911649.22</v>
      </c>
      <c r="I233" s="9" t="n">
        <v>1885499.04</v>
      </c>
      <c r="J233" s="9" t="n">
        <v>254986.51</v>
      </c>
      <c r="K233" s="9" t="n">
        <v>771163.67</v>
      </c>
      <c r="L233" s="8" t="n">
        <v>41</v>
      </c>
      <c r="M233" s="8" t="n">
        <v>1851</v>
      </c>
      <c r="N233" s="10" t="n">
        <v>26.49</v>
      </c>
    </row>
    <row r="234" customFormat="false" ht="15" hidden="false" customHeight="false" outlineLevel="0" collapsed="false">
      <c r="A234" s="8" t="s">
        <v>85</v>
      </c>
      <c r="B234" s="8" t="s">
        <v>86</v>
      </c>
      <c r="C234" s="8" t="s">
        <v>84</v>
      </c>
      <c r="D234" s="8" t="s">
        <v>65</v>
      </c>
      <c r="E234" s="8" t="n">
        <v>2023</v>
      </c>
      <c r="F234" s="8" t="s">
        <v>36</v>
      </c>
      <c r="G234" s="8" t="s">
        <v>52</v>
      </c>
      <c r="H234" s="9" t="n">
        <v>2921836.75</v>
      </c>
      <c r="I234" s="9" t="n">
        <v>2112289.51</v>
      </c>
      <c r="J234" s="9" t="n">
        <v>109954.52</v>
      </c>
      <c r="K234" s="9" t="n">
        <v>699592.72</v>
      </c>
      <c r="L234" s="8" t="n">
        <v>42</v>
      </c>
      <c r="M234" s="8" t="n">
        <v>1341</v>
      </c>
      <c r="N234" s="10" t="n">
        <v>23.94</v>
      </c>
    </row>
    <row r="235" customFormat="false" ht="15" hidden="false" customHeight="false" outlineLevel="0" collapsed="false">
      <c r="A235" s="8" t="s">
        <v>85</v>
      </c>
      <c r="B235" s="8" t="s">
        <v>86</v>
      </c>
      <c r="C235" s="8" t="s">
        <v>84</v>
      </c>
      <c r="D235" s="8" t="s">
        <v>65</v>
      </c>
      <c r="E235" s="8" t="n">
        <v>2023</v>
      </c>
      <c r="F235" s="8" t="s">
        <v>38</v>
      </c>
      <c r="G235" s="8" t="s">
        <v>53</v>
      </c>
      <c r="H235" s="9" t="n">
        <v>3088484.38</v>
      </c>
      <c r="I235" s="9" t="n">
        <v>1982465.24</v>
      </c>
      <c r="J235" s="9" t="n">
        <v>165754.56</v>
      </c>
      <c r="K235" s="9" t="n">
        <v>940264.58</v>
      </c>
      <c r="L235" s="8" t="n">
        <v>39</v>
      </c>
      <c r="M235" s="8" t="n">
        <v>1274</v>
      </c>
      <c r="N235" s="10" t="n">
        <v>30.44</v>
      </c>
    </row>
    <row r="236" customFormat="false" ht="15" hidden="false" customHeight="false" outlineLevel="0" collapsed="false">
      <c r="A236" s="8" t="s">
        <v>85</v>
      </c>
      <c r="B236" s="8" t="s">
        <v>86</v>
      </c>
      <c r="C236" s="8" t="s">
        <v>84</v>
      </c>
      <c r="D236" s="8" t="s">
        <v>65</v>
      </c>
      <c r="E236" s="8" t="n">
        <v>2023</v>
      </c>
      <c r="F236" s="8" t="s">
        <v>40</v>
      </c>
      <c r="G236" s="8" t="s">
        <v>54</v>
      </c>
      <c r="H236" s="9" t="n">
        <v>3142730.47</v>
      </c>
      <c r="I236" s="9" t="n">
        <v>1776533.27</v>
      </c>
      <c r="J236" s="9" t="n">
        <v>246808.08</v>
      </c>
      <c r="K236" s="9" t="n">
        <v>1119389.12</v>
      </c>
      <c r="L236" s="8" t="n">
        <v>40</v>
      </c>
      <c r="M236" s="8" t="n">
        <v>2554</v>
      </c>
      <c r="N236" s="10" t="n">
        <v>35.62</v>
      </c>
    </row>
    <row r="237" customFormat="false" ht="15" hidden="false" customHeight="false" outlineLevel="0" collapsed="false">
      <c r="A237" s="8" t="s">
        <v>85</v>
      </c>
      <c r="B237" s="8" t="s">
        <v>86</v>
      </c>
      <c r="C237" s="8" t="s">
        <v>84</v>
      </c>
      <c r="D237" s="8" t="s">
        <v>65</v>
      </c>
      <c r="E237" s="8" t="n">
        <v>2023</v>
      </c>
      <c r="F237" s="8" t="s">
        <v>42</v>
      </c>
      <c r="G237" s="8" t="s">
        <v>55</v>
      </c>
      <c r="H237" s="9" t="n">
        <v>2823070.73</v>
      </c>
      <c r="I237" s="9" t="n">
        <v>1832428.17</v>
      </c>
      <c r="J237" s="9" t="n">
        <v>224456.51</v>
      </c>
      <c r="K237" s="9" t="n">
        <v>766186.05</v>
      </c>
      <c r="L237" s="8" t="n">
        <v>37</v>
      </c>
      <c r="M237" s="8" t="n">
        <v>2380</v>
      </c>
      <c r="N237" s="10" t="n">
        <v>27.14</v>
      </c>
    </row>
    <row r="238" customFormat="false" ht="15" hidden="false" customHeight="false" outlineLevel="0" collapsed="false">
      <c r="A238" s="8" t="s">
        <v>85</v>
      </c>
      <c r="B238" s="8" t="s">
        <v>86</v>
      </c>
      <c r="C238" s="8" t="s">
        <v>84</v>
      </c>
      <c r="D238" s="8" t="s">
        <v>65</v>
      </c>
      <c r="E238" s="8" t="n">
        <v>2024</v>
      </c>
      <c r="F238" s="8" t="s">
        <v>36</v>
      </c>
      <c r="G238" s="8" t="s">
        <v>56</v>
      </c>
      <c r="H238" s="9" t="n">
        <v>3122546.63</v>
      </c>
      <c r="I238" s="9" t="n">
        <v>2177934.91</v>
      </c>
      <c r="J238" s="9" t="n">
        <v>121810.98</v>
      </c>
      <c r="K238" s="9" t="n">
        <v>822800.74</v>
      </c>
      <c r="L238" s="8" t="n">
        <v>34</v>
      </c>
      <c r="M238" s="8" t="n">
        <v>3585</v>
      </c>
      <c r="N238" s="10" t="n">
        <v>26.35</v>
      </c>
    </row>
    <row r="239" customFormat="false" ht="15" hidden="false" customHeight="false" outlineLevel="0" collapsed="false">
      <c r="A239" s="8" t="s">
        <v>85</v>
      </c>
      <c r="B239" s="8" t="s">
        <v>86</v>
      </c>
      <c r="C239" s="8" t="s">
        <v>84</v>
      </c>
      <c r="D239" s="8" t="s">
        <v>65</v>
      </c>
      <c r="E239" s="8" t="n">
        <v>2024</v>
      </c>
      <c r="F239" s="8" t="s">
        <v>38</v>
      </c>
      <c r="G239" s="8" t="s">
        <v>57</v>
      </c>
      <c r="H239" s="9" t="n">
        <v>3415372.6</v>
      </c>
      <c r="I239" s="9" t="n">
        <v>2328625.31</v>
      </c>
      <c r="J239" s="9" t="n">
        <v>255375.73</v>
      </c>
      <c r="K239" s="9" t="n">
        <v>831371.56</v>
      </c>
      <c r="L239" s="8" t="n">
        <v>34</v>
      </c>
      <c r="M239" s="8" t="n">
        <v>3969</v>
      </c>
      <c r="N239" s="10" t="n">
        <v>24.34</v>
      </c>
    </row>
    <row r="240" customFormat="false" ht="15" hidden="false" customHeight="false" outlineLevel="0" collapsed="false">
      <c r="A240" s="8" t="s">
        <v>85</v>
      </c>
      <c r="B240" s="8" t="s">
        <v>86</v>
      </c>
      <c r="C240" s="8" t="s">
        <v>84</v>
      </c>
      <c r="D240" s="8" t="s">
        <v>65</v>
      </c>
      <c r="E240" s="8" t="n">
        <v>2024</v>
      </c>
      <c r="F240" s="8" t="s">
        <v>40</v>
      </c>
      <c r="G240" s="8" t="s">
        <v>58</v>
      </c>
      <c r="H240" s="9" t="n">
        <v>3037522.35</v>
      </c>
      <c r="I240" s="9" t="n">
        <v>1883083.57</v>
      </c>
      <c r="J240" s="9" t="n">
        <v>145169.68</v>
      </c>
      <c r="K240" s="9" t="n">
        <v>1009269.1</v>
      </c>
      <c r="L240" s="8" t="n">
        <v>33</v>
      </c>
      <c r="M240" s="8" t="n">
        <v>2724</v>
      </c>
      <c r="N240" s="10" t="n">
        <v>33.23</v>
      </c>
    </row>
    <row r="241" customFormat="false" ht="15" hidden="false" customHeight="false" outlineLevel="0" collapsed="false">
      <c r="A241" s="8" t="s">
        <v>85</v>
      </c>
      <c r="B241" s="8" t="s">
        <v>86</v>
      </c>
      <c r="C241" s="8" t="s">
        <v>84</v>
      </c>
      <c r="D241" s="8" t="s">
        <v>65</v>
      </c>
      <c r="E241" s="8" t="n">
        <v>2024</v>
      </c>
      <c r="F241" s="8" t="s">
        <v>42</v>
      </c>
      <c r="G241" s="8" t="s">
        <v>59</v>
      </c>
      <c r="H241" s="9" t="n">
        <v>3102975.42</v>
      </c>
      <c r="I241" s="9" t="n">
        <v>2047725.5</v>
      </c>
      <c r="J241" s="9" t="n">
        <v>169819.19</v>
      </c>
      <c r="K241" s="9" t="n">
        <v>885430.73</v>
      </c>
      <c r="L241" s="8" t="n">
        <v>30</v>
      </c>
      <c r="M241" s="8" t="n">
        <v>1852</v>
      </c>
      <c r="N241" s="10" t="n">
        <v>28.53</v>
      </c>
    </row>
    <row r="242" customFormat="false" ht="15" hidden="false" customHeight="false" outlineLevel="0" collapsed="false">
      <c r="A242" s="8" t="s">
        <v>87</v>
      </c>
      <c r="B242" s="8" t="s">
        <v>88</v>
      </c>
      <c r="C242" s="8" t="s">
        <v>84</v>
      </c>
      <c r="D242" s="8" t="s">
        <v>62</v>
      </c>
      <c r="E242" s="8" t="n">
        <v>2020</v>
      </c>
      <c r="F242" s="8" t="s">
        <v>36</v>
      </c>
      <c r="G242" s="8" t="s">
        <v>37</v>
      </c>
      <c r="H242" s="9" t="n">
        <v>2504721.86</v>
      </c>
      <c r="I242" s="9" t="n">
        <v>1438404.87</v>
      </c>
      <c r="J242" s="9" t="n">
        <v>106053.02</v>
      </c>
      <c r="K242" s="9" t="n">
        <v>960263.97</v>
      </c>
      <c r="L242" s="8" t="n">
        <v>389</v>
      </c>
      <c r="M242" s="8" t="n">
        <v>1322</v>
      </c>
      <c r="N242" s="10" t="n">
        <v>38.34</v>
      </c>
    </row>
    <row r="243" customFormat="false" ht="15" hidden="false" customHeight="false" outlineLevel="0" collapsed="false">
      <c r="A243" s="8" t="s">
        <v>87</v>
      </c>
      <c r="B243" s="8" t="s">
        <v>88</v>
      </c>
      <c r="C243" s="8" t="s">
        <v>84</v>
      </c>
      <c r="D243" s="8" t="s">
        <v>62</v>
      </c>
      <c r="E243" s="8" t="n">
        <v>2020</v>
      </c>
      <c r="F243" s="8" t="s">
        <v>38</v>
      </c>
      <c r="G243" s="8" t="s">
        <v>39</v>
      </c>
      <c r="H243" s="9" t="n">
        <v>3015562.96</v>
      </c>
      <c r="I243" s="9" t="n">
        <v>2198836.69</v>
      </c>
      <c r="J243" s="9" t="n">
        <v>176999.43</v>
      </c>
      <c r="K243" s="9" t="n">
        <v>639726.84</v>
      </c>
      <c r="L243" s="8" t="n">
        <v>387</v>
      </c>
      <c r="M243" s="8" t="n">
        <v>1877</v>
      </c>
      <c r="N243" s="10" t="n">
        <v>21.21</v>
      </c>
    </row>
    <row r="244" customFormat="false" ht="15" hidden="false" customHeight="false" outlineLevel="0" collapsed="false">
      <c r="A244" s="8" t="s">
        <v>87</v>
      </c>
      <c r="B244" s="8" t="s">
        <v>88</v>
      </c>
      <c r="C244" s="8" t="s">
        <v>84</v>
      </c>
      <c r="D244" s="8" t="s">
        <v>62</v>
      </c>
      <c r="E244" s="8" t="n">
        <v>2020</v>
      </c>
      <c r="F244" s="8" t="s">
        <v>40</v>
      </c>
      <c r="G244" s="8" t="s">
        <v>41</v>
      </c>
      <c r="H244" s="9" t="n">
        <v>2936211.08</v>
      </c>
      <c r="I244" s="9" t="n">
        <v>2091621.59</v>
      </c>
      <c r="J244" s="9" t="n">
        <v>219876.38</v>
      </c>
      <c r="K244" s="9" t="n">
        <v>624713.11</v>
      </c>
      <c r="L244" s="8" t="n">
        <v>385</v>
      </c>
      <c r="M244" s="8" t="n">
        <v>2135</v>
      </c>
      <c r="N244" s="10" t="n">
        <v>21.28</v>
      </c>
    </row>
    <row r="245" customFormat="false" ht="15" hidden="false" customHeight="false" outlineLevel="0" collapsed="false">
      <c r="A245" s="8" t="s">
        <v>87</v>
      </c>
      <c r="B245" s="8" t="s">
        <v>88</v>
      </c>
      <c r="C245" s="8" t="s">
        <v>84</v>
      </c>
      <c r="D245" s="8" t="s">
        <v>62</v>
      </c>
      <c r="E245" s="8" t="n">
        <v>2020</v>
      </c>
      <c r="F245" s="8" t="s">
        <v>42</v>
      </c>
      <c r="G245" s="8" t="s">
        <v>43</v>
      </c>
      <c r="H245" s="9" t="n">
        <v>2582498.17</v>
      </c>
      <c r="I245" s="9" t="n">
        <v>1612598.13</v>
      </c>
      <c r="J245" s="9" t="n">
        <v>112279.11</v>
      </c>
      <c r="K245" s="9" t="n">
        <v>857620.93</v>
      </c>
      <c r="L245" s="8" t="n">
        <v>387</v>
      </c>
      <c r="M245" s="8" t="n">
        <v>1402</v>
      </c>
      <c r="N245" s="10" t="n">
        <v>33.21</v>
      </c>
    </row>
    <row r="246" customFormat="false" ht="15" hidden="false" customHeight="false" outlineLevel="0" collapsed="false">
      <c r="A246" s="8" t="s">
        <v>87</v>
      </c>
      <c r="B246" s="8" t="s">
        <v>88</v>
      </c>
      <c r="C246" s="8" t="s">
        <v>84</v>
      </c>
      <c r="D246" s="8" t="s">
        <v>62</v>
      </c>
      <c r="E246" s="8" t="n">
        <v>2021</v>
      </c>
      <c r="F246" s="8" t="s">
        <v>36</v>
      </c>
      <c r="G246" s="8" t="s">
        <v>44</v>
      </c>
      <c r="H246" s="9" t="n">
        <v>2821980.66</v>
      </c>
      <c r="I246" s="9" t="n">
        <v>1832056.85</v>
      </c>
      <c r="J246" s="9" t="n">
        <v>199115.95</v>
      </c>
      <c r="K246" s="9" t="n">
        <v>790807.86</v>
      </c>
      <c r="L246" s="8" t="n">
        <v>387</v>
      </c>
      <c r="M246" s="8" t="n">
        <v>1229</v>
      </c>
      <c r="N246" s="10" t="n">
        <v>28.02</v>
      </c>
    </row>
    <row r="247" customFormat="false" ht="15" hidden="false" customHeight="false" outlineLevel="0" collapsed="false">
      <c r="A247" s="8" t="s">
        <v>87</v>
      </c>
      <c r="B247" s="8" t="s">
        <v>88</v>
      </c>
      <c r="C247" s="8" t="s">
        <v>84</v>
      </c>
      <c r="D247" s="8" t="s">
        <v>62</v>
      </c>
      <c r="E247" s="8" t="n">
        <v>2021</v>
      </c>
      <c r="F247" s="8" t="s">
        <v>38</v>
      </c>
      <c r="G247" s="8" t="s">
        <v>45</v>
      </c>
      <c r="H247" s="9" t="n">
        <v>3194606.49</v>
      </c>
      <c r="I247" s="9" t="n">
        <v>1918195.73</v>
      </c>
      <c r="J247" s="9" t="n">
        <v>271974.71</v>
      </c>
      <c r="K247" s="9" t="n">
        <v>1004436.05</v>
      </c>
      <c r="L247" s="8" t="n">
        <v>389</v>
      </c>
      <c r="M247" s="8" t="n">
        <v>1431</v>
      </c>
      <c r="N247" s="10" t="n">
        <v>31.44</v>
      </c>
    </row>
    <row r="248" customFormat="false" ht="15" hidden="false" customHeight="false" outlineLevel="0" collapsed="false">
      <c r="A248" s="8" t="s">
        <v>87</v>
      </c>
      <c r="B248" s="8" t="s">
        <v>88</v>
      </c>
      <c r="C248" s="8" t="s">
        <v>84</v>
      </c>
      <c r="D248" s="8" t="s">
        <v>62</v>
      </c>
      <c r="E248" s="8" t="n">
        <v>2021</v>
      </c>
      <c r="F248" s="8" t="s">
        <v>40</v>
      </c>
      <c r="G248" s="8" t="s">
        <v>46</v>
      </c>
      <c r="H248" s="9" t="n">
        <v>2913515.49</v>
      </c>
      <c r="I248" s="9" t="n">
        <v>1920022.39</v>
      </c>
      <c r="J248" s="9" t="n">
        <v>118421.95</v>
      </c>
      <c r="K248" s="9" t="n">
        <v>875071.15</v>
      </c>
      <c r="L248" s="8" t="n">
        <v>392</v>
      </c>
      <c r="M248" s="8" t="n">
        <v>1330</v>
      </c>
      <c r="N248" s="10" t="n">
        <v>30.03</v>
      </c>
    </row>
    <row r="249" customFormat="false" ht="15" hidden="false" customHeight="false" outlineLevel="0" collapsed="false">
      <c r="A249" s="8" t="s">
        <v>87</v>
      </c>
      <c r="B249" s="8" t="s">
        <v>88</v>
      </c>
      <c r="C249" s="8" t="s">
        <v>84</v>
      </c>
      <c r="D249" s="8" t="s">
        <v>62</v>
      </c>
      <c r="E249" s="8" t="n">
        <v>2021</v>
      </c>
      <c r="F249" s="8" t="s">
        <v>42</v>
      </c>
      <c r="G249" s="8" t="s">
        <v>47</v>
      </c>
      <c r="H249" s="9" t="n">
        <v>2528773.01</v>
      </c>
      <c r="I249" s="9" t="n">
        <v>1467030.29</v>
      </c>
      <c r="J249" s="9" t="n">
        <v>149965.46</v>
      </c>
      <c r="K249" s="9" t="n">
        <v>911777.26</v>
      </c>
      <c r="L249" s="8" t="n">
        <v>389</v>
      </c>
      <c r="M249" s="8" t="n">
        <v>1210</v>
      </c>
      <c r="N249" s="10" t="n">
        <v>36.06</v>
      </c>
    </row>
    <row r="250" customFormat="false" ht="15" hidden="false" customHeight="false" outlineLevel="0" collapsed="false">
      <c r="A250" s="8" t="s">
        <v>87</v>
      </c>
      <c r="B250" s="8" t="s">
        <v>88</v>
      </c>
      <c r="C250" s="8" t="s">
        <v>84</v>
      </c>
      <c r="D250" s="8" t="s">
        <v>62</v>
      </c>
      <c r="E250" s="8" t="n">
        <v>2022</v>
      </c>
      <c r="F250" s="8" t="s">
        <v>36</v>
      </c>
      <c r="G250" s="8" t="s">
        <v>48</v>
      </c>
      <c r="H250" s="9" t="n">
        <v>2590686.71</v>
      </c>
      <c r="I250" s="9" t="n">
        <v>1781814.89</v>
      </c>
      <c r="J250" s="9" t="n">
        <v>165548.3</v>
      </c>
      <c r="K250" s="9" t="n">
        <v>643323.52</v>
      </c>
      <c r="L250" s="8" t="n">
        <v>392</v>
      </c>
      <c r="M250" s="8" t="n">
        <v>1237</v>
      </c>
      <c r="N250" s="10" t="n">
        <v>24.83</v>
      </c>
    </row>
    <row r="251" customFormat="false" ht="15" hidden="false" customHeight="false" outlineLevel="0" collapsed="false">
      <c r="A251" s="8" t="s">
        <v>87</v>
      </c>
      <c r="B251" s="8" t="s">
        <v>88</v>
      </c>
      <c r="C251" s="8" t="s">
        <v>84</v>
      </c>
      <c r="D251" s="8" t="s">
        <v>62</v>
      </c>
      <c r="E251" s="8" t="n">
        <v>2022</v>
      </c>
      <c r="F251" s="8" t="s">
        <v>38</v>
      </c>
      <c r="G251" s="8" t="s">
        <v>49</v>
      </c>
      <c r="H251" s="9" t="n">
        <v>3254890.69</v>
      </c>
      <c r="I251" s="9" t="n">
        <v>2153463.23</v>
      </c>
      <c r="J251" s="9" t="n">
        <v>129059.31</v>
      </c>
      <c r="K251" s="9" t="n">
        <v>972368.15</v>
      </c>
      <c r="L251" s="8" t="n">
        <v>392</v>
      </c>
      <c r="M251" s="8" t="n">
        <v>1416</v>
      </c>
      <c r="N251" s="10" t="n">
        <v>29.87</v>
      </c>
    </row>
    <row r="252" customFormat="false" ht="15" hidden="false" customHeight="false" outlineLevel="0" collapsed="false">
      <c r="A252" s="8" t="s">
        <v>87</v>
      </c>
      <c r="B252" s="8" t="s">
        <v>88</v>
      </c>
      <c r="C252" s="8" t="s">
        <v>84</v>
      </c>
      <c r="D252" s="8" t="s">
        <v>62</v>
      </c>
      <c r="E252" s="8" t="n">
        <v>2022</v>
      </c>
      <c r="F252" s="8" t="s">
        <v>40</v>
      </c>
      <c r="G252" s="8" t="s">
        <v>50</v>
      </c>
      <c r="H252" s="9" t="n">
        <v>2875238.65</v>
      </c>
      <c r="I252" s="9" t="n">
        <v>1698711.49</v>
      </c>
      <c r="J252" s="9" t="n">
        <v>224280.86</v>
      </c>
      <c r="K252" s="9" t="n">
        <v>952246.3</v>
      </c>
      <c r="L252" s="8" t="n">
        <v>391</v>
      </c>
      <c r="M252" s="8" t="n">
        <v>1556</v>
      </c>
      <c r="N252" s="10" t="n">
        <v>33.12</v>
      </c>
    </row>
    <row r="253" customFormat="false" ht="15" hidden="false" customHeight="false" outlineLevel="0" collapsed="false">
      <c r="A253" s="8" t="s">
        <v>87</v>
      </c>
      <c r="B253" s="8" t="s">
        <v>88</v>
      </c>
      <c r="C253" s="8" t="s">
        <v>84</v>
      </c>
      <c r="D253" s="8" t="s">
        <v>62</v>
      </c>
      <c r="E253" s="8" t="n">
        <v>2022</v>
      </c>
      <c r="F253" s="8" t="s">
        <v>42</v>
      </c>
      <c r="G253" s="8" t="s">
        <v>51</v>
      </c>
      <c r="H253" s="9" t="n">
        <v>2746352.43</v>
      </c>
      <c r="I253" s="9" t="n">
        <v>1716613.02</v>
      </c>
      <c r="J253" s="9" t="n">
        <v>195740.9</v>
      </c>
      <c r="K253" s="9" t="n">
        <v>833998.51</v>
      </c>
      <c r="L253" s="8" t="n">
        <v>389</v>
      </c>
      <c r="M253" s="8" t="n">
        <v>1225</v>
      </c>
      <c r="N253" s="10" t="n">
        <v>30.37</v>
      </c>
    </row>
    <row r="254" customFormat="false" ht="15" hidden="false" customHeight="false" outlineLevel="0" collapsed="false">
      <c r="A254" s="8" t="s">
        <v>87</v>
      </c>
      <c r="B254" s="8" t="s">
        <v>88</v>
      </c>
      <c r="C254" s="8" t="s">
        <v>84</v>
      </c>
      <c r="D254" s="8" t="s">
        <v>62</v>
      </c>
      <c r="E254" s="8" t="n">
        <v>2023</v>
      </c>
      <c r="F254" s="8" t="s">
        <v>36</v>
      </c>
      <c r="G254" s="8" t="s">
        <v>52</v>
      </c>
      <c r="H254" s="9" t="n">
        <v>2735546.19</v>
      </c>
      <c r="I254" s="9" t="n">
        <v>1671749.29</v>
      </c>
      <c r="J254" s="9" t="n">
        <v>106503.79</v>
      </c>
      <c r="K254" s="9" t="n">
        <v>957293.11</v>
      </c>
      <c r="L254" s="8" t="n">
        <v>391</v>
      </c>
      <c r="M254" s="8" t="n">
        <v>1349</v>
      </c>
      <c r="N254" s="10" t="n">
        <v>34.99</v>
      </c>
    </row>
    <row r="255" customFormat="false" ht="15" hidden="false" customHeight="false" outlineLevel="0" collapsed="false">
      <c r="A255" s="8" t="s">
        <v>87</v>
      </c>
      <c r="B255" s="8" t="s">
        <v>88</v>
      </c>
      <c r="C255" s="8" t="s">
        <v>84</v>
      </c>
      <c r="D255" s="8" t="s">
        <v>62</v>
      </c>
      <c r="E255" s="8" t="n">
        <v>2023</v>
      </c>
      <c r="F255" s="8" t="s">
        <v>38</v>
      </c>
      <c r="G255" s="8" t="s">
        <v>53</v>
      </c>
      <c r="H255" s="9" t="n">
        <v>2873169.48</v>
      </c>
      <c r="I255" s="9" t="n">
        <v>1805227.15</v>
      </c>
      <c r="J255" s="9" t="n">
        <v>188430.1</v>
      </c>
      <c r="K255" s="9" t="n">
        <v>879512.23</v>
      </c>
      <c r="L255" s="8" t="n">
        <v>393</v>
      </c>
      <c r="M255" s="8" t="n">
        <v>3567</v>
      </c>
      <c r="N255" s="10" t="n">
        <v>30.61</v>
      </c>
    </row>
    <row r="256" customFormat="false" ht="15" hidden="false" customHeight="false" outlineLevel="0" collapsed="false">
      <c r="A256" s="8" t="s">
        <v>87</v>
      </c>
      <c r="B256" s="8" t="s">
        <v>88</v>
      </c>
      <c r="C256" s="8" t="s">
        <v>84</v>
      </c>
      <c r="D256" s="8" t="s">
        <v>62</v>
      </c>
      <c r="E256" s="8" t="n">
        <v>2023</v>
      </c>
      <c r="F256" s="8" t="s">
        <v>40</v>
      </c>
      <c r="G256" s="8" t="s">
        <v>54</v>
      </c>
      <c r="H256" s="9" t="n">
        <v>2934785.07</v>
      </c>
      <c r="I256" s="9" t="n">
        <v>1850280.51</v>
      </c>
      <c r="J256" s="9" t="n">
        <v>156307.87</v>
      </c>
      <c r="K256" s="9" t="n">
        <v>928196.69</v>
      </c>
      <c r="L256" s="8" t="n">
        <v>394</v>
      </c>
      <c r="M256" s="8" t="n">
        <v>1445</v>
      </c>
      <c r="N256" s="10" t="n">
        <v>31.63</v>
      </c>
    </row>
    <row r="257" customFormat="false" ht="15" hidden="false" customHeight="false" outlineLevel="0" collapsed="false">
      <c r="A257" s="8" t="s">
        <v>87</v>
      </c>
      <c r="B257" s="8" t="s">
        <v>88</v>
      </c>
      <c r="C257" s="8" t="s">
        <v>84</v>
      </c>
      <c r="D257" s="8" t="s">
        <v>62</v>
      </c>
      <c r="E257" s="8" t="n">
        <v>2023</v>
      </c>
      <c r="F257" s="8" t="s">
        <v>42</v>
      </c>
      <c r="G257" s="8" t="s">
        <v>55</v>
      </c>
      <c r="H257" s="9" t="n">
        <v>2924110.82</v>
      </c>
      <c r="I257" s="9" t="n">
        <v>1936629.58</v>
      </c>
      <c r="J257" s="9" t="n">
        <v>189479.54</v>
      </c>
      <c r="K257" s="9" t="n">
        <v>798001.7</v>
      </c>
      <c r="L257" s="8" t="n">
        <v>392</v>
      </c>
      <c r="M257" s="8" t="n">
        <v>1499</v>
      </c>
      <c r="N257" s="10" t="n">
        <v>27.29</v>
      </c>
    </row>
    <row r="258" customFormat="false" ht="15" hidden="false" customHeight="false" outlineLevel="0" collapsed="false">
      <c r="A258" s="8" t="s">
        <v>87</v>
      </c>
      <c r="B258" s="8" t="s">
        <v>88</v>
      </c>
      <c r="C258" s="8" t="s">
        <v>84</v>
      </c>
      <c r="D258" s="8" t="s">
        <v>62</v>
      </c>
      <c r="E258" s="8" t="n">
        <v>2024</v>
      </c>
      <c r="F258" s="8" t="s">
        <v>36</v>
      </c>
      <c r="G258" s="8" t="s">
        <v>56</v>
      </c>
      <c r="H258" s="9" t="n">
        <v>2992286.26</v>
      </c>
      <c r="I258" s="9" t="n">
        <v>2026669.89</v>
      </c>
      <c r="J258" s="9" t="n">
        <v>147598.95</v>
      </c>
      <c r="K258" s="9" t="n">
        <v>818017.42</v>
      </c>
      <c r="L258" s="8" t="n">
        <v>385</v>
      </c>
      <c r="M258" s="8" t="n">
        <v>1446</v>
      </c>
      <c r="N258" s="10" t="n">
        <v>27.34</v>
      </c>
    </row>
    <row r="259" customFormat="false" ht="15" hidden="false" customHeight="false" outlineLevel="0" collapsed="false">
      <c r="A259" s="8" t="s">
        <v>87</v>
      </c>
      <c r="B259" s="8" t="s">
        <v>88</v>
      </c>
      <c r="C259" s="8" t="s">
        <v>84</v>
      </c>
      <c r="D259" s="8" t="s">
        <v>62</v>
      </c>
      <c r="E259" s="8" t="n">
        <v>2024</v>
      </c>
      <c r="F259" s="8" t="s">
        <v>38</v>
      </c>
      <c r="G259" s="8" t="s">
        <v>57</v>
      </c>
      <c r="H259" s="9" t="n">
        <v>3171412.33</v>
      </c>
      <c r="I259" s="9" t="n">
        <v>2244481.42</v>
      </c>
      <c r="J259" s="9" t="n">
        <v>229803.25</v>
      </c>
      <c r="K259" s="9" t="n">
        <v>697127.66</v>
      </c>
      <c r="L259" s="8" t="n">
        <v>393</v>
      </c>
      <c r="M259" s="8" t="n">
        <v>3018</v>
      </c>
      <c r="N259" s="10" t="n">
        <v>21.98</v>
      </c>
    </row>
    <row r="260" customFormat="false" ht="15" hidden="false" customHeight="false" outlineLevel="0" collapsed="false">
      <c r="A260" s="8" t="s">
        <v>87</v>
      </c>
      <c r="B260" s="8" t="s">
        <v>88</v>
      </c>
      <c r="C260" s="8" t="s">
        <v>84</v>
      </c>
      <c r="D260" s="8" t="s">
        <v>62</v>
      </c>
      <c r="E260" s="8" t="n">
        <v>2024</v>
      </c>
      <c r="F260" s="8" t="s">
        <v>40</v>
      </c>
      <c r="G260" s="8" t="s">
        <v>58</v>
      </c>
      <c r="H260" s="9" t="n">
        <v>2949229.33</v>
      </c>
      <c r="I260" s="9" t="n">
        <v>1658966.4</v>
      </c>
      <c r="J260" s="9" t="n">
        <v>154201.4</v>
      </c>
      <c r="K260" s="9" t="n">
        <v>1136061.53</v>
      </c>
      <c r="L260" s="8" t="n">
        <v>395</v>
      </c>
      <c r="M260" s="8" t="n">
        <v>1440</v>
      </c>
      <c r="N260" s="10" t="n">
        <v>38.52</v>
      </c>
    </row>
    <row r="261" customFormat="false" ht="15" hidden="false" customHeight="false" outlineLevel="0" collapsed="false">
      <c r="A261" s="8" t="s">
        <v>87</v>
      </c>
      <c r="B261" s="8" t="s">
        <v>88</v>
      </c>
      <c r="C261" s="8" t="s">
        <v>84</v>
      </c>
      <c r="D261" s="8" t="s">
        <v>62</v>
      </c>
      <c r="E261" s="8" t="n">
        <v>2024</v>
      </c>
      <c r="F261" s="8" t="s">
        <v>42</v>
      </c>
      <c r="G261" s="8" t="s">
        <v>59</v>
      </c>
      <c r="H261" s="9" t="n">
        <v>2958922.68</v>
      </c>
      <c r="I261" s="9" t="n">
        <v>1876695.56</v>
      </c>
      <c r="J261" s="9" t="n">
        <v>202845.73</v>
      </c>
      <c r="K261" s="9" t="n">
        <v>879381.39</v>
      </c>
      <c r="L261" s="8" t="n">
        <v>397</v>
      </c>
      <c r="M261" s="8" t="n">
        <v>2955</v>
      </c>
      <c r="N261" s="10" t="n">
        <v>29.72</v>
      </c>
    </row>
    <row r="262" customFormat="false" ht="15" hidden="false" customHeight="false" outlineLevel="0" collapsed="false">
      <c r="A262" s="8" t="s">
        <v>89</v>
      </c>
      <c r="B262" s="8" t="s">
        <v>90</v>
      </c>
      <c r="C262" s="8" t="s">
        <v>84</v>
      </c>
      <c r="D262" s="8" t="s">
        <v>73</v>
      </c>
      <c r="E262" s="8" t="n">
        <v>2020</v>
      </c>
      <c r="F262" s="8" t="s">
        <v>36</v>
      </c>
      <c r="G262" s="8" t="s">
        <v>37</v>
      </c>
      <c r="H262" s="9" t="n">
        <v>4558922.81</v>
      </c>
      <c r="I262" s="9" t="n">
        <v>2658120.16</v>
      </c>
      <c r="J262" s="9" t="n">
        <v>404735.71</v>
      </c>
      <c r="K262" s="9" t="n">
        <v>1496066.94</v>
      </c>
      <c r="L262" s="8" t="n">
        <v>383</v>
      </c>
      <c r="M262" s="8" t="n">
        <v>2536</v>
      </c>
      <c r="N262" s="10" t="n">
        <v>32.82</v>
      </c>
    </row>
    <row r="263" customFormat="false" ht="15" hidden="false" customHeight="false" outlineLevel="0" collapsed="false">
      <c r="A263" s="8" t="s">
        <v>89</v>
      </c>
      <c r="B263" s="8" t="s">
        <v>90</v>
      </c>
      <c r="C263" s="8" t="s">
        <v>84</v>
      </c>
      <c r="D263" s="8" t="s">
        <v>73</v>
      </c>
      <c r="E263" s="8" t="n">
        <v>2020</v>
      </c>
      <c r="F263" s="8" t="s">
        <v>38</v>
      </c>
      <c r="G263" s="8" t="s">
        <v>39</v>
      </c>
      <c r="H263" s="9" t="n">
        <v>5295710.28</v>
      </c>
      <c r="I263" s="9" t="n">
        <v>3229033.47</v>
      </c>
      <c r="J263" s="9" t="n">
        <v>323487.01</v>
      </c>
      <c r="K263" s="9" t="n">
        <v>1743189.8</v>
      </c>
      <c r="L263" s="8" t="n">
        <v>384</v>
      </c>
      <c r="M263" s="8" t="n">
        <v>2373</v>
      </c>
      <c r="N263" s="10" t="n">
        <v>32.92</v>
      </c>
    </row>
    <row r="264" customFormat="false" ht="15" hidden="false" customHeight="false" outlineLevel="0" collapsed="false">
      <c r="A264" s="8" t="s">
        <v>89</v>
      </c>
      <c r="B264" s="8" t="s">
        <v>90</v>
      </c>
      <c r="C264" s="8" t="s">
        <v>84</v>
      </c>
      <c r="D264" s="8" t="s">
        <v>73</v>
      </c>
      <c r="E264" s="8" t="n">
        <v>2020</v>
      </c>
      <c r="F264" s="8" t="s">
        <v>40</v>
      </c>
      <c r="G264" s="8" t="s">
        <v>41</v>
      </c>
      <c r="H264" s="9" t="n">
        <v>3939737.22</v>
      </c>
      <c r="I264" s="9" t="n">
        <v>2723161.34</v>
      </c>
      <c r="J264" s="9" t="n">
        <v>339767.66</v>
      </c>
      <c r="K264" s="9" t="n">
        <v>876808.22</v>
      </c>
      <c r="L264" s="8" t="n">
        <v>383</v>
      </c>
      <c r="M264" s="8" t="n">
        <v>1686</v>
      </c>
      <c r="N264" s="10" t="n">
        <v>22.26</v>
      </c>
    </row>
    <row r="265" customFormat="false" ht="15" hidden="false" customHeight="false" outlineLevel="0" collapsed="false">
      <c r="A265" s="8" t="s">
        <v>89</v>
      </c>
      <c r="B265" s="8" t="s">
        <v>90</v>
      </c>
      <c r="C265" s="8" t="s">
        <v>84</v>
      </c>
      <c r="D265" s="8" t="s">
        <v>73</v>
      </c>
      <c r="E265" s="8" t="n">
        <v>2020</v>
      </c>
      <c r="F265" s="8" t="s">
        <v>42</v>
      </c>
      <c r="G265" s="8" t="s">
        <v>43</v>
      </c>
      <c r="H265" s="9" t="n">
        <v>4255076.4</v>
      </c>
      <c r="I265" s="9" t="n">
        <v>2961114.67</v>
      </c>
      <c r="J265" s="9" t="n">
        <v>239182.28</v>
      </c>
      <c r="K265" s="9" t="n">
        <v>1054779.45</v>
      </c>
      <c r="L265" s="8" t="n">
        <v>383</v>
      </c>
      <c r="M265" s="8" t="n">
        <v>2315</v>
      </c>
      <c r="N265" s="10" t="n">
        <v>24.79</v>
      </c>
    </row>
    <row r="266" customFormat="false" ht="15" hidden="false" customHeight="false" outlineLevel="0" collapsed="false">
      <c r="A266" s="8" t="s">
        <v>89</v>
      </c>
      <c r="B266" s="8" t="s">
        <v>90</v>
      </c>
      <c r="C266" s="8" t="s">
        <v>84</v>
      </c>
      <c r="D266" s="8" t="s">
        <v>73</v>
      </c>
      <c r="E266" s="8" t="n">
        <v>2021</v>
      </c>
      <c r="F266" s="8" t="s">
        <v>36</v>
      </c>
      <c r="G266" s="8" t="s">
        <v>44</v>
      </c>
      <c r="H266" s="9" t="n">
        <v>4795487.88</v>
      </c>
      <c r="I266" s="9" t="n">
        <v>2650372.76</v>
      </c>
      <c r="J266" s="9" t="n">
        <v>279690.24</v>
      </c>
      <c r="K266" s="9" t="n">
        <v>1865424.88</v>
      </c>
      <c r="L266" s="8" t="n">
        <v>385</v>
      </c>
      <c r="M266" s="8" t="n">
        <v>1951</v>
      </c>
      <c r="N266" s="10" t="n">
        <v>38.9</v>
      </c>
    </row>
    <row r="267" customFormat="false" ht="15" hidden="false" customHeight="false" outlineLevel="0" collapsed="false">
      <c r="A267" s="8" t="s">
        <v>89</v>
      </c>
      <c r="B267" s="8" t="s">
        <v>90</v>
      </c>
      <c r="C267" s="8" t="s">
        <v>84</v>
      </c>
      <c r="D267" s="8" t="s">
        <v>73</v>
      </c>
      <c r="E267" s="8" t="n">
        <v>2021</v>
      </c>
      <c r="F267" s="8" t="s">
        <v>38</v>
      </c>
      <c r="G267" s="8" t="s">
        <v>45</v>
      </c>
      <c r="H267" s="9" t="n">
        <v>4860229.44</v>
      </c>
      <c r="I267" s="9" t="n">
        <v>3494300.29</v>
      </c>
      <c r="J267" s="9" t="n">
        <v>270876.2</v>
      </c>
      <c r="K267" s="9" t="n">
        <v>1095052.95</v>
      </c>
      <c r="L267" s="8" t="n">
        <v>384</v>
      </c>
      <c r="M267" s="8" t="n">
        <v>2159</v>
      </c>
      <c r="N267" s="10" t="n">
        <v>22.53</v>
      </c>
    </row>
    <row r="268" customFormat="false" ht="15" hidden="false" customHeight="false" outlineLevel="0" collapsed="false">
      <c r="A268" s="8" t="s">
        <v>89</v>
      </c>
      <c r="B268" s="8" t="s">
        <v>90</v>
      </c>
      <c r="C268" s="8" t="s">
        <v>84</v>
      </c>
      <c r="D268" s="8" t="s">
        <v>73</v>
      </c>
      <c r="E268" s="8" t="n">
        <v>2021</v>
      </c>
      <c r="F268" s="8" t="s">
        <v>40</v>
      </c>
      <c r="G268" s="8" t="s">
        <v>46</v>
      </c>
      <c r="H268" s="9" t="n">
        <v>4720491.78</v>
      </c>
      <c r="I268" s="9" t="n">
        <v>2924196.74</v>
      </c>
      <c r="J268" s="9" t="n">
        <v>258049.16</v>
      </c>
      <c r="K268" s="9" t="n">
        <v>1538245.88</v>
      </c>
      <c r="L268" s="8" t="n">
        <v>387</v>
      </c>
      <c r="M268" s="8" t="n">
        <v>2693</v>
      </c>
      <c r="N268" s="10" t="n">
        <v>32.59</v>
      </c>
    </row>
    <row r="269" customFormat="false" ht="15" hidden="false" customHeight="false" outlineLevel="0" collapsed="false">
      <c r="A269" s="8" t="s">
        <v>89</v>
      </c>
      <c r="B269" s="8" t="s">
        <v>90</v>
      </c>
      <c r="C269" s="8" t="s">
        <v>84</v>
      </c>
      <c r="D269" s="8" t="s">
        <v>73</v>
      </c>
      <c r="E269" s="8" t="n">
        <v>2021</v>
      </c>
      <c r="F269" s="8" t="s">
        <v>42</v>
      </c>
      <c r="G269" s="8" t="s">
        <v>47</v>
      </c>
      <c r="H269" s="9" t="n">
        <v>4372308.34</v>
      </c>
      <c r="I269" s="9" t="n">
        <v>3128708.75</v>
      </c>
      <c r="J269" s="9" t="n">
        <v>234385.77</v>
      </c>
      <c r="K269" s="9" t="n">
        <v>1009213.82</v>
      </c>
      <c r="L269" s="8" t="n">
        <v>388</v>
      </c>
      <c r="M269" s="8" t="n">
        <v>2665</v>
      </c>
      <c r="N269" s="10" t="n">
        <v>23.08</v>
      </c>
    </row>
    <row r="270" customFormat="false" ht="15" hidden="false" customHeight="false" outlineLevel="0" collapsed="false">
      <c r="A270" s="8" t="s">
        <v>89</v>
      </c>
      <c r="B270" s="8" t="s">
        <v>90</v>
      </c>
      <c r="C270" s="8" t="s">
        <v>84</v>
      </c>
      <c r="D270" s="8" t="s">
        <v>73</v>
      </c>
      <c r="E270" s="8" t="n">
        <v>2022</v>
      </c>
      <c r="F270" s="8" t="s">
        <v>36</v>
      </c>
      <c r="G270" s="8" t="s">
        <v>48</v>
      </c>
      <c r="H270" s="9" t="n">
        <v>4956662.39</v>
      </c>
      <c r="I270" s="9" t="n">
        <v>3286594.56</v>
      </c>
      <c r="J270" s="9" t="n">
        <v>207614.06</v>
      </c>
      <c r="K270" s="9" t="n">
        <v>1462453.77</v>
      </c>
      <c r="L270" s="8" t="n">
        <v>385</v>
      </c>
      <c r="M270" s="8" t="n">
        <v>2701</v>
      </c>
      <c r="N270" s="10" t="n">
        <v>29.5</v>
      </c>
    </row>
    <row r="271" customFormat="false" ht="15" hidden="false" customHeight="false" outlineLevel="0" collapsed="false">
      <c r="A271" s="8" t="s">
        <v>89</v>
      </c>
      <c r="B271" s="8" t="s">
        <v>90</v>
      </c>
      <c r="C271" s="8" t="s">
        <v>84</v>
      </c>
      <c r="D271" s="8" t="s">
        <v>73</v>
      </c>
      <c r="E271" s="8" t="n">
        <v>2022</v>
      </c>
      <c r="F271" s="8" t="s">
        <v>38</v>
      </c>
      <c r="G271" s="8" t="s">
        <v>49</v>
      </c>
      <c r="H271" s="9" t="n">
        <v>5178094.14</v>
      </c>
      <c r="I271" s="9" t="n">
        <v>2870771.81</v>
      </c>
      <c r="J271" s="9" t="n">
        <v>212203.1</v>
      </c>
      <c r="K271" s="9" t="n">
        <v>2095119.23</v>
      </c>
      <c r="L271" s="8" t="n">
        <v>387</v>
      </c>
      <c r="M271" s="8" t="n">
        <v>5444</v>
      </c>
      <c r="N271" s="10" t="n">
        <v>40.46</v>
      </c>
    </row>
    <row r="272" customFormat="false" ht="15" hidden="false" customHeight="false" outlineLevel="0" collapsed="false">
      <c r="A272" s="8" t="s">
        <v>89</v>
      </c>
      <c r="B272" s="8" t="s">
        <v>90</v>
      </c>
      <c r="C272" s="8" t="s">
        <v>84</v>
      </c>
      <c r="D272" s="8" t="s">
        <v>73</v>
      </c>
      <c r="E272" s="8" t="n">
        <v>2022</v>
      </c>
      <c r="F272" s="8" t="s">
        <v>40</v>
      </c>
      <c r="G272" s="8" t="s">
        <v>50</v>
      </c>
      <c r="H272" s="9" t="n">
        <v>5085304.5</v>
      </c>
      <c r="I272" s="9" t="n">
        <v>3671731.92</v>
      </c>
      <c r="J272" s="9" t="n">
        <v>187577.21</v>
      </c>
      <c r="K272" s="9" t="n">
        <v>1225995.37</v>
      </c>
      <c r="L272" s="8" t="n">
        <v>384</v>
      </c>
      <c r="M272" s="8" t="n">
        <v>2538</v>
      </c>
      <c r="N272" s="10" t="n">
        <v>24.11</v>
      </c>
    </row>
    <row r="273" customFormat="false" ht="15" hidden="false" customHeight="false" outlineLevel="0" collapsed="false">
      <c r="A273" s="8" t="s">
        <v>89</v>
      </c>
      <c r="B273" s="8" t="s">
        <v>90</v>
      </c>
      <c r="C273" s="8" t="s">
        <v>84</v>
      </c>
      <c r="D273" s="8" t="s">
        <v>73</v>
      </c>
      <c r="E273" s="8" t="n">
        <v>2022</v>
      </c>
      <c r="F273" s="8" t="s">
        <v>42</v>
      </c>
      <c r="G273" s="8" t="s">
        <v>51</v>
      </c>
      <c r="H273" s="9" t="n">
        <v>4519534.62</v>
      </c>
      <c r="I273" s="9" t="n">
        <v>2690159.93</v>
      </c>
      <c r="J273" s="9" t="n">
        <v>301787.45</v>
      </c>
      <c r="K273" s="9" t="n">
        <v>1527587.24</v>
      </c>
      <c r="L273" s="8" t="n">
        <v>386</v>
      </c>
      <c r="M273" s="8" t="n">
        <v>4347</v>
      </c>
      <c r="N273" s="10" t="n">
        <v>33.8</v>
      </c>
    </row>
    <row r="274" customFormat="false" ht="15" hidden="false" customHeight="false" outlineLevel="0" collapsed="false">
      <c r="A274" s="8" t="s">
        <v>89</v>
      </c>
      <c r="B274" s="8" t="s">
        <v>90</v>
      </c>
      <c r="C274" s="8" t="s">
        <v>84</v>
      </c>
      <c r="D274" s="8" t="s">
        <v>73</v>
      </c>
      <c r="E274" s="8" t="n">
        <v>2023</v>
      </c>
      <c r="F274" s="8" t="s">
        <v>36</v>
      </c>
      <c r="G274" s="8" t="s">
        <v>52</v>
      </c>
      <c r="H274" s="9" t="n">
        <v>5019191.68</v>
      </c>
      <c r="I274" s="9" t="n">
        <v>3173901.46</v>
      </c>
      <c r="J274" s="9" t="n">
        <v>289796.75</v>
      </c>
      <c r="K274" s="9" t="n">
        <v>1555493.47</v>
      </c>
      <c r="L274" s="8" t="n">
        <v>388</v>
      </c>
      <c r="M274" s="8" t="n">
        <v>5540</v>
      </c>
      <c r="N274" s="10" t="n">
        <v>30.99</v>
      </c>
    </row>
    <row r="275" customFormat="false" ht="15" hidden="false" customHeight="false" outlineLevel="0" collapsed="false">
      <c r="A275" s="8" t="s">
        <v>89</v>
      </c>
      <c r="B275" s="8" t="s">
        <v>90</v>
      </c>
      <c r="C275" s="8" t="s">
        <v>84</v>
      </c>
      <c r="D275" s="8" t="s">
        <v>73</v>
      </c>
      <c r="E275" s="8" t="n">
        <v>2023</v>
      </c>
      <c r="F275" s="8" t="s">
        <v>38</v>
      </c>
      <c r="G275" s="8" t="s">
        <v>53</v>
      </c>
      <c r="H275" s="9" t="n">
        <v>5894554.67</v>
      </c>
      <c r="I275" s="9" t="n">
        <v>3783407.98</v>
      </c>
      <c r="J275" s="9" t="n">
        <v>462040.05</v>
      </c>
      <c r="K275" s="9" t="n">
        <v>1649106.64</v>
      </c>
      <c r="L275" s="8" t="n">
        <v>391</v>
      </c>
      <c r="M275" s="8" t="n">
        <v>5457</v>
      </c>
      <c r="N275" s="10" t="n">
        <v>27.98</v>
      </c>
    </row>
    <row r="276" customFormat="false" ht="15" hidden="false" customHeight="false" outlineLevel="0" collapsed="false">
      <c r="A276" s="8" t="s">
        <v>89</v>
      </c>
      <c r="B276" s="8" t="s">
        <v>90</v>
      </c>
      <c r="C276" s="8" t="s">
        <v>84</v>
      </c>
      <c r="D276" s="8" t="s">
        <v>73</v>
      </c>
      <c r="E276" s="8" t="n">
        <v>2023</v>
      </c>
      <c r="F276" s="8" t="s">
        <v>40</v>
      </c>
      <c r="G276" s="8" t="s">
        <v>54</v>
      </c>
      <c r="H276" s="9" t="n">
        <v>5184229.01</v>
      </c>
      <c r="I276" s="9" t="n">
        <v>2982231.66</v>
      </c>
      <c r="J276" s="9" t="n">
        <v>161108.94</v>
      </c>
      <c r="K276" s="9" t="n">
        <v>2040888.41</v>
      </c>
      <c r="L276" s="8" t="n">
        <v>392</v>
      </c>
      <c r="M276" s="8" t="n">
        <v>4200</v>
      </c>
      <c r="N276" s="10" t="n">
        <v>39.37</v>
      </c>
    </row>
    <row r="277" customFormat="false" ht="15" hidden="false" customHeight="false" outlineLevel="0" collapsed="false">
      <c r="A277" s="8" t="s">
        <v>89</v>
      </c>
      <c r="B277" s="8" t="s">
        <v>90</v>
      </c>
      <c r="C277" s="8" t="s">
        <v>84</v>
      </c>
      <c r="D277" s="8" t="s">
        <v>73</v>
      </c>
      <c r="E277" s="8" t="n">
        <v>2023</v>
      </c>
      <c r="F277" s="8" t="s">
        <v>42</v>
      </c>
      <c r="G277" s="8" t="s">
        <v>55</v>
      </c>
      <c r="H277" s="9" t="n">
        <v>4727635.02</v>
      </c>
      <c r="I277" s="9" t="n">
        <v>3531533.58</v>
      </c>
      <c r="J277" s="9" t="n">
        <v>269826.75</v>
      </c>
      <c r="K277" s="9" t="n">
        <v>926274.69</v>
      </c>
      <c r="L277" s="8" t="n">
        <v>389</v>
      </c>
      <c r="M277" s="8" t="n">
        <v>2015</v>
      </c>
      <c r="N277" s="10" t="n">
        <v>19.59</v>
      </c>
    </row>
    <row r="278" customFormat="false" ht="15" hidden="false" customHeight="false" outlineLevel="0" collapsed="false">
      <c r="A278" s="8" t="s">
        <v>89</v>
      </c>
      <c r="B278" s="8" t="s">
        <v>90</v>
      </c>
      <c r="C278" s="8" t="s">
        <v>84</v>
      </c>
      <c r="D278" s="8" t="s">
        <v>73</v>
      </c>
      <c r="E278" s="8" t="n">
        <v>2024</v>
      </c>
      <c r="F278" s="8" t="s">
        <v>36</v>
      </c>
      <c r="G278" s="8" t="s">
        <v>56</v>
      </c>
      <c r="H278" s="9" t="n">
        <v>5380999.93</v>
      </c>
      <c r="I278" s="9" t="n">
        <v>3445666.07</v>
      </c>
      <c r="J278" s="9" t="n">
        <v>281512.18</v>
      </c>
      <c r="K278" s="9" t="n">
        <v>1653821.68</v>
      </c>
      <c r="L278" s="8" t="n">
        <v>388</v>
      </c>
      <c r="M278" s="8" t="n">
        <v>3472</v>
      </c>
      <c r="N278" s="10" t="n">
        <v>30.73</v>
      </c>
    </row>
    <row r="279" customFormat="false" ht="15" hidden="false" customHeight="false" outlineLevel="0" collapsed="false">
      <c r="A279" s="8" t="s">
        <v>89</v>
      </c>
      <c r="B279" s="8" t="s">
        <v>90</v>
      </c>
      <c r="C279" s="8" t="s">
        <v>84</v>
      </c>
      <c r="D279" s="8" t="s">
        <v>73</v>
      </c>
      <c r="E279" s="8" t="n">
        <v>2024</v>
      </c>
      <c r="F279" s="8" t="s">
        <v>38</v>
      </c>
      <c r="G279" s="8" t="s">
        <v>57</v>
      </c>
      <c r="H279" s="9" t="n">
        <v>5450349.82</v>
      </c>
      <c r="I279" s="9" t="n">
        <v>3568158.31</v>
      </c>
      <c r="J279" s="9" t="n">
        <v>230146.4</v>
      </c>
      <c r="K279" s="9" t="n">
        <v>1652045.11</v>
      </c>
      <c r="L279" s="8" t="n">
        <v>389</v>
      </c>
      <c r="M279" s="8" t="n">
        <v>3058</v>
      </c>
      <c r="N279" s="10" t="n">
        <v>30.31</v>
      </c>
    </row>
    <row r="280" customFormat="false" ht="15" hidden="false" customHeight="false" outlineLevel="0" collapsed="false">
      <c r="A280" s="8" t="s">
        <v>89</v>
      </c>
      <c r="B280" s="8" t="s">
        <v>90</v>
      </c>
      <c r="C280" s="8" t="s">
        <v>84</v>
      </c>
      <c r="D280" s="8" t="s">
        <v>73</v>
      </c>
      <c r="E280" s="8" t="n">
        <v>2024</v>
      </c>
      <c r="F280" s="8" t="s">
        <v>40</v>
      </c>
      <c r="G280" s="8" t="s">
        <v>58</v>
      </c>
      <c r="H280" s="9" t="n">
        <v>5406812.2</v>
      </c>
      <c r="I280" s="9" t="n">
        <v>3943683.32</v>
      </c>
      <c r="J280" s="9" t="n">
        <v>225736.84</v>
      </c>
      <c r="K280" s="9" t="n">
        <v>1237392.04</v>
      </c>
      <c r="L280" s="8" t="n">
        <v>387</v>
      </c>
      <c r="M280" s="8" t="n">
        <v>3092</v>
      </c>
      <c r="N280" s="10" t="n">
        <v>22.89</v>
      </c>
    </row>
    <row r="281" customFormat="false" ht="15" hidden="false" customHeight="false" outlineLevel="0" collapsed="false">
      <c r="A281" s="8" t="s">
        <v>89</v>
      </c>
      <c r="B281" s="8" t="s">
        <v>90</v>
      </c>
      <c r="C281" s="8" t="s">
        <v>84</v>
      </c>
      <c r="D281" s="8" t="s">
        <v>73</v>
      </c>
      <c r="E281" s="8" t="n">
        <v>2024</v>
      </c>
      <c r="F281" s="8" t="s">
        <v>42</v>
      </c>
      <c r="G281" s="8" t="s">
        <v>59</v>
      </c>
      <c r="H281" s="9" t="n">
        <v>5014840.89</v>
      </c>
      <c r="I281" s="9" t="n">
        <v>3617886.01</v>
      </c>
      <c r="J281" s="9" t="n">
        <v>245755.79</v>
      </c>
      <c r="K281" s="9" t="n">
        <v>1151199.09</v>
      </c>
      <c r="L281" s="8" t="n">
        <v>384</v>
      </c>
      <c r="M281" s="8" t="n">
        <v>2028</v>
      </c>
      <c r="N281" s="10" t="n">
        <v>22.96</v>
      </c>
    </row>
    <row r="282" customFormat="false" ht="15" hidden="false" customHeight="false" outlineLevel="0" collapsed="false">
      <c r="A282" s="8" t="s">
        <v>91</v>
      </c>
      <c r="B282" s="8" t="s">
        <v>92</v>
      </c>
      <c r="C282" s="8" t="s">
        <v>84</v>
      </c>
      <c r="D282" s="8" t="s">
        <v>35</v>
      </c>
      <c r="E282" s="8" t="n">
        <v>2020</v>
      </c>
      <c r="F282" s="8" t="s">
        <v>36</v>
      </c>
      <c r="G282" s="8" t="s">
        <v>37</v>
      </c>
      <c r="H282" s="9" t="n">
        <v>3712809.81</v>
      </c>
      <c r="I282" s="9" t="n">
        <v>2274587.58</v>
      </c>
      <c r="J282" s="9" t="n">
        <v>294138.63</v>
      </c>
      <c r="K282" s="9" t="n">
        <v>1144083.6</v>
      </c>
      <c r="L282" s="8" t="n">
        <v>46</v>
      </c>
      <c r="M282" s="8" t="n">
        <v>1496</v>
      </c>
      <c r="N282" s="10" t="n">
        <v>30.81</v>
      </c>
    </row>
    <row r="283" customFormat="false" ht="15" hidden="false" customHeight="false" outlineLevel="0" collapsed="false">
      <c r="A283" s="8" t="s">
        <v>91</v>
      </c>
      <c r="B283" s="8" t="s">
        <v>92</v>
      </c>
      <c r="C283" s="8" t="s">
        <v>84</v>
      </c>
      <c r="D283" s="8" t="s">
        <v>35</v>
      </c>
      <c r="E283" s="8" t="n">
        <v>2020</v>
      </c>
      <c r="F283" s="8" t="s">
        <v>38</v>
      </c>
      <c r="G283" s="8" t="s">
        <v>39</v>
      </c>
      <c r="H283" s="9" t="n">
        <v>3999484.26</v>
      </c>
      <c r="I283" s="9" t="n">
        <v>2733983.45</v>
      </c>
      <c r="J283" s="9" t="n">
        <v>356140.55</v>
      </c>
      <c r="K283" s="9" t="n">
        <v>909360.26</v>
      </c>
      <c r="L283" s="8" t="n">
        <v>49</v>
      </c>
      <c r="M283" s="8" t="n">
        <v>1739</v>
      </c>
      <c r="N283" s="10" t="n">
        <v>22.74</v>
      </c>
    </row>
    <row r="284" customFormat="false" ht="15" hidden="false" customHeight="false" outlineLevel="0" collapsed="false">
      <c r="A284" s="8" t="s">
        <v>91</v>
      </c>
      <c r="B284" s="8" t="s">
        <v>92</v>
      </c>
      <c r="C284" s="8" t="s">
        <v>84</v>
      </c>
      <c r="D284" s="8" t="s">
        <v>35</v>
      </c>
      <c r="E284" s="8" t="n">
        <v>2020</v>
      </c>
      <c r="F284" s="8" t="s">
        <v>40</v>
      </c>
      <c r="G284" s="8" t="s">
        <v>41</v>
      </c>
      <c r="H284" s="9" t="n">
        <v>3377300.22</v>
      </c>
      <c r="I284" s="9" t="n">
        <v>1920353.5</v>
      </c>
      <c r="J284" s="9" t="n">
        <v>240503.15</v>
      </c>
      <c r="K284" s="9" t="n">
        <v>1216443.57</v>
      </c>
      <c r="L284" s="8" t="n">
        <v>49</v>
      </c>
      <c r="M284" s="8" t="n">
        <v>1375</v>
      </c>
      <c r="N284" s="10" t="n">
        <v>36.02</v>
      </c>
    </row>
    <row r="285" customFormat="false" ht="15" hidden="false" customHeight="false" outlineLevel="0" collapsed="false">
      <c r="A285" s="8" t="s">
        <v>91</v>
      </c>
      <c r="B285" s="8" t="s">
        <v>92</v>
      </c>
      <c r="C285" s="8" t="s">
        <v>84</v>
      </c>
      <c r="D285" s="8" t="s">
        <v>35</v>
      </c>
      <c r="E285" s="8" t="n">
        <v>2020</v>
      </c>
      <c r="F285" s="8" t="s">
        <v>42</v>
      </c>
      <c r="G285" s="8" t="s">
        <v>43</v>
      </c>
      <c r="H285" s="9" t="n">
        <v>3065761.76</v>
      </c>
      <c r="I285" s="9" t="n">
        <v>2188379.69</v>
      </c>
      <c r="J285" s="9" t="n">
        <v>249830.84</v>
      </c>
      <c r="K285" s="9" t="n">
        <v>627551.23</v>
      </c>
      <c r="L285" s="8" t="n">
        <v>48</v>
      </c>
      <c r="M285" s="8" t="n">
        <v>2297</v>
      </c>
      <c r="N285" s="10" t="n">
        <v>20.47</v>
      </c>
    </row>
    <row r="286" customFormat="false" ht="15" hidden="false" customHeight="false" outlineLevel="0" collapsed="false">
      <c r="A286" s="8" t="s">
        <v>91</v>
      </c>
      <c r="B286" s="8" t="s">
        <v>92</v>
      </c>
      <c r="C286" s="8" t="s">
        <v>84</v>
      </c>
      <c r="D286" s="8" t="s">
        <v>35</v>
      </c>
      <c r="E286" s="8" t="n">
        <v>2021</v>
      </c>
      <c r="F286" s="8" t="s">
        <v>36</v>
      </c>
      <c r="G286" s="8" t="s">
        <v>44</v>
      </c>
      <c r="H286" s="9" t="n">
        <v>3632109.14</v>
      </c>
      <c r="I286" s="9" t="n">
        <v>2182405.07</v>
      </c>
      <c r="J286" s="9" t="n">
        <v>177405.46</v>
      </c>
      <c r="K286" s="9" t="n">
        <v>1272298.61</v>
      </c>
      <c r="L286" s="8" t="n">
        <v>49</v>
      </c>
      <c r="M286" s="8" t="n">
        <v>2145</v>
      </c>
      <c r="N286" s="10" t="n">
        <v>35.03</v>
      </c>
    </row>
    <row r="287" customFormat="false" ht="15" hidden="false" customHeight="false" outlineLevel="0" collapsed="false">
      <c r="A287" s="8" t="s">
        <v>91</v>
      </c>
      <c r="B287" s="8" t="s">
        <v>92</v>
      </c>
      <c r="C287" s="8" t="s">
        <v>84</v>
      </c>
      <c r="D287" s="8" t="s">
        <v>35</v>
      </c>
      <c r="E287" s="8" t="n">
        <v>2021</v>
      </c>
      <c r="F287" s="8" t="s">
        <v>38</v>
      </c>
      <c r="G287" s="8" t="s">
        <v>45</v>
      </c>
      <c r="H287" s="9" t="n">
        <v>3920148.37</v>
      </c>
      <c r="I287" s="9" t="n">
        <v>2224432.89</v>
      </c>
      <c r="J287" s="9" t="n">
        <v>144169.7</v>
      </c>
      <c r="K287" s="9" t="n">
        <v>1551545.78</v>
      </c>
      <c r="L287" s="8" t="n">
        <v>48</v>
      </c>
      <c r="M287" s="8" t="n">
        <v>1675</v>
      </c>
      <c r="N287" s="10" t="n">
        <v>39.58</v>
      </c>
    </row>
    <row r="288" customFormat="false" ht="15" hidden="false" customHeight="false" outlineLevel="0" collapsed="false">
      <c r="A288" s="8" t="s">
        <v>91</v>
      </c>
      <c r="B288" s="8" t="s">
        <v>92</v>
      </c>
      <c r="C288" s="8" t="s">
        <v>84</v>
      </c>
      <c r="D288" s="8" t="s">
        <v>35</v>
      </c>
      <c r="E288" s="8" t="n">
        <v>2021</v>
      </c>
      <c r="F288" s="8" t="s">
        <v>40</v>
      </c>
      <c r="G288" s="8" t="s">
        <v>46</v>
      </c>
      <c r="H288" s="9" t="n">
        <v>3930196.99</v>
      </c>
      <c r="I288" s="9" t="n">
        <v>2649682.66</v>
      </c>
      <c r="J288" s="9" t="n">
        <v>271454.21</v>
      </c>
      <c r="K288" s="9" t="n">
        <v>1009060.12</v>
      </c>
      <c r="L288" s="8" t="n">
        <v>51</v>
      </c>
      <c r="M288" s="8" t="n">
        <v>2454</v>
      </c>
      <c r="N288" s="10" t="n">
        <v>25.67</v>
      </c>
    </row>
    <row r="289" customFormat="false" ht="15" hidden="false" customHeight="false" outlineLevel="0" collapsed="false">
      <c r="A289" s="8" t="s">
        <v>91</v>
      </c>
      <c r="B289" s="8" t="s">
        <v>92</v>
      </c>
      <c r="C289" s="8" t="s">
        <v>84</v>
      </c>
      <c r="D289" s="8" t="s">
        <v>35</v>
      </c>
      <c r="E289" s="8" t="n">
        <v>2021</v>
      </c>
      <c r="F289" s="8" t="s">
        <v>42</v>
      </c>
      <c r="G289" s="8" t="s">
        <v>47</v>
      </c>
      <c r="H289" s="9" t="n">
        <v>3297913.64</v>
      </c>
      <c r="I289" s="9" t="n">
        <v>1834375.82</v>
      </c>
      <c r="J289" s="9" t="n">
        <v>149192.64</v>
      </c>
      <c r="K289" s="9" t="n">
        <v>1314345.18</v>
      </c>
      <c r="L289" s="8" t="n">
        <v>51</v>
      </c>
      <c r="M289" s="8" t="n">
        <v>2469</v>
      </c>
      <c r="N289" s="10" t="n">
        <v>39.85</v>
      </c>
    </row>
    <row r="290" customFormat="false" ht="15" hidden="false" customHeight="false" outlineLevel="0" collapsed="false">
      <c r="A290" s="8" t="s">
        <v>91</v>
      </c>
      <c r="B290" s="8" t="s">
        <v>92</v>
      </c>
      <c r="C290" s="8" t="s">
        <v>84</v>
      </c>
      <c r="D290" s="8" t="s">
        <v>35</v>
      </c>
      <c r="E290" s="8" t="n">
        <v>2022</v>
      </c>
      <c r="F290" s="8" t="s">
        <v>36</v>
      </c>
      <c r="G290" s="8" t="s">
        <v>48</v>
      </c>
      <c r="H290" s="9" t="n">
        <v>3520859.55</v>
      </c>
      <c r="I290" s="9" t="n">
        <v>2634830.05</v>
      </c>
      <c r="J290" s="9" t="n">
        <v>244055.23</v>
      </c>
      <c r="K290" s="9" t="n">
        <v>641974.27</v>
      </c>
      <c r="L290" s="8" t="n">
        <v>54</v>
      </c>
      <c r="M290" s="8" t="n">
        <v>3018</v>
      </c>
      <c r="N290" s="10" t="n">
        <v>18.23</v>
      </c>
    </row>
    <row r="291" customFormat="false" ht="15" hidden="false" customHeight="false" outlineLevel="0" collapsed="false">
      <c r="A291" s="8" t="s">
        <v>91</v>
      </c>
      <c r="B291" s="8" t="s">
        <v>92</v>
      </c>
      <c r="C291" s="8" t="s">
        <v>84</v>
      </c>
      <c r="D291" s="8" t="s">
        <v>35</v>
      </c>
      <c r="E291" s="8" t="n">
        <v>2022</v>
      </c>
      <c r="F291" s="8" t="s">
        <v>38</v>
      </c>
      <c r="G291" s="8" t="s">
        <v>49</v>
      </c>
      <c r="H291" s="9" t="n">
        <v>3940504.4</v>
      </c>
      <c r="I291" s="9" t="n">
        <v>2193433.98</v>
      </c>
      <c r="J291" s="9" t="n">
        <v>168490.7</v>
      </c>
      <c r="K291" s="9" t="n">
        <v>1578579.72</v>
      </c>
      <c r="L291" s="8" t="n">
        <v>54</v>
      </c>
      <c r="M291" s="8" t="n">
        <v>1645</v>
      </c>
      <c r="N291" s="10" t="n">
        <v>40.06</v>
      </c>
    </row>
    <row r="292" customFormat="false" ht="15" hidden="false" customHeight="false" outlineLevel="0" collapsed="false">
      <c r="A292" s="8" t="s">
        <v>91</v>
      </c>
      <c r="B292" s="8" t="s">
        <v>92</v>
      </c>
      <c r="C292" s="8" t="s">
        <v>84</v>
      </c>
      <c r="D292" s="8" t="s">
        <v>35</v>
      </c>
      <c r="E292" s="8" t="n">
        <v>2022</v>
      </c>
      <c r="F292" s="8" t="s">
        <v>40</v>
      </c>
      <c r="G292" s="8" t="s">
        <v>50</v>
      </c>
      <c r="H292" s="9" t="n">
        <v>3874842.63</v>
      </c>
      <c r="I292" s="9" t="n">
        <v>2827741.88</v>
      </c>
      <c r="J292" s="9" t="n">
        <v>129984.05</v>
      </c>
      <c r="K292" s="9" t="n">
        <v>917116.7</v>
      </c>
      <c r="L292" s="8" t="n">
        <v>53</v>
      </c>
      <c r="M292" s="8" t="n">
        <v>4841</v>
      </c>
      <c r="N292" s="10" t="n">
        <v>23.67</v>
      </c>
    </row>
    <row r="293" customFormat="false" ht="15" hidden="false" customHeight="false" outlineLevel="0" collapsed="false">
      <c r="A293" s="8" t="s">
        <v>91</v>
      </c>
      <c r="B293" s="8" t="s">
        <v>92</v>
      </c>
      <c r="C293" s="8" t="s">
        <v>84</v>
      </c>
      <c r="D293" s="8" t="s">
        <v>35</v>
      </c>
      <c r="E293" s="8" t="n">
        <v>2022</v>
      </c>
      <c r="F293" s="8" t="s">
        <v>42</v>
      </c>
      <c r="G293" s="8" t="s">
        <v>51</v>
      </c>
      <c r="H293" s="9" t="n">
        <v>3533031.15</v>
      </c>
      <c r="I293" s="9" t="n">
        <v>2259059.36</v>
      </c>
      <c r="J293" s="9" t="n">
        <v>129518.69</v>
      </c>
      <c r="K293" s="9" t="n">
        <v>1144453.1</v>
      </c>
      <c r="L293" s="8" t="n">
        <v>52</v>
      </c>
      <c r="M293" s="8" t="n">
        <v>2043</v>
      </c>
      <c r="N293" s="10" t="n">
        <v>32.39</v>
      </c>
    </row>
    <row r="294" customFormat="false" ht="15" hidden="false" customHeight="false" outlineLevel="0" collapsed="false">
      <c r="A294" s="8" t="s">
        <v>91</v>
      </c>
      <c r="B294" s="8" t="s">
        <v>92</v>
      </c>
      <c r="C294" s="8" t="s">
        <v>84</v>
      </c>
      <c r="D294" s="8" t="s">
        <v>35</v>
      </c>
      <c r="E294" s="8" t="n">
        <v>2023</v>
      </c>
      <c r="F294" s="8" t="s">
        <v>36</v>
      </c>
      <c r="G294" s="8" t="s">
        <v>52</v>
      </c>
      <c r="H294" s="9" t="n">
        <v>4051874.29</v>
      </c>
      <c r="I294" s="9" t="n">
        <v>2243117.68</v>
      </c>
      <c r="J294" s="9" t="n">
        <v>238024.13</v>
      </c>
      <c r="K294" s="9" t="n">
        <v>1570732.48</v>
      </c>
      <c r="L294" s="8" t="n">
        <v>54</v>
      </c>
      <c r="M294" s="8" t="n">
        <v>1658</v>
      </c>
      <c r="N294" s="10" t="n">
        <v>38.77</v>
      </c>
    </row>
    <row r="295" customFormat="false" ht="15" hidden="false" customHeight="false" outlineLevel="0" collapsed="false">
      <c r="A295" s="8" t="s">
        <v>91</v>
      </c>
      <c r="B295" s="8" t="s">
        <v>92</v>
      </c>
      <c r="C295" s="8" t="s">
        <v>84</v>
      </c>
      <c r="D295" s="8" t="s">
        <v>35</v>
      </c>
      <c r="E295" s="8" t="n">
        <v>2023</v>
      </c>
      <c r="F295" s="8" t="s">
        <v>38</v>
      </c>
      <c r="G295" s="8" t="s">
        <v>53</v>
      </c>
      <c r="H295" s="9" t="n">
        <v>4124343.34</v>
      </c>
      <c r="I295" s="9" t="n">
        <v>2509430.5</v>
      </c>
      <c r="J295" s="9" t="n">
        <v>336136.05</v>
      </c>
      <c r="K295" s="9" t="n">
        <v>1278776.79</v>
      </c>
      <c r="L295" s="8" t="n">
        <v>54</v>
      </c>
      <c r="M295" s="8" t="n">
        <v>1902</v>
      </c>
      <c r="N295" s="10" t="n">
        <v>31.01</v>
      </c>
    </row>
    <row r="296" customFormat="false" ht="15" hidden="false" customHeight="false" outlineLevel="0" collapsed="false">
      <c r="A296" s="8" t="s">
        <v>91</v>
      </c>
      <c r="B296" s="8" t="s">
        <v>92</v>
      </c>
      <c r="C296" s="8" t="s">
        <v>84</v>
      </c>
      <c r="D296" s="8" t="s">
        <v>35</v>
      </c>
      <c r="E296" s="8" t="n">
        <v>2023</v>
      </c>
      <c r="F296" s="8" t="s">
        <v>40</v>
      </c>
      <c r="G296" s="8" t="s">
        <v>54</v>
      </c>
      <c r="H296" s="9" t="n">
        <v>3867987.85</v>
      </c>
      <c r="I296" s="9" t="n">
        <v>2613396.79</v>
      </c>
      <c r="J296" s="9" t="n">
        <v>245814.84</v>
      </c>
      <c r="K296" s="9" t="n">
        <v>1008776.22</v>
      </c>
      <c r="L296" s="8" t="n">
        <v>56</v>
      </c>
      <c r="M296" s="8" t="n">
        <v>2471</v>
      </c>
      <c r="N296" s="10" t="n">
        <v>26.08</v>
      </c>
    </row>
    <row r="297" customFormat="false" ht="15" hidden="false" customHeight="false" outlineLevel="0" collapsed="false">
      <c r="A297" s="8" t="s">
        <v>91</v>
      </c>
      <c r="B297" s="8" t="s">
        <v>92</v>
      </c>
      <c r="C297" s="8" t="s">
        <v>84</v>
      </c>
      <c r="D297" s="8" t="s">
        <v>35</v>
      </c>
      <c r="E297" s="8" t="n">
        <v>2023</v>
      </c>
      <c r="F297" s="8" t="s">
        <v>42</v>
      </c>
      <c r="G297" s="8" t="s">
        <v>55</v>
      </c>
      <c r="H297" s="9" t="n">
        <v>3673472.1</v>
      </c>
      <c r="I297" s="9" t="n">
        <v>2070619.36</v>
      </c>
      <c r="J297" s="9" t="n">
        <v>136707.65</v>
      </c>
      <c r="K297" s="9" t="n">
        <v>1466145.09</v>
      </c>
      <c r="L297" s="8" t="n">
        <v>57</v>
      </c>
      <c r="M297" s="8" t="n">
        <v>1668</v>
      </c>
      <c r="N297" s="10" t="n">
        <v>39.91</v>
      </c>
    </row>
    <row r="298" customFormat="false" ht="15" hidden="false" customHeight="false" outlineLevel="0" collapsed="false">
      <c r="A298" s="8" t="s">
        <v>91</v>
      </c>
      <c r="B298" s="8" t="s">
        <v>92</v>
      </c>
      <c r="C298" s="8" t="s">
        <v>84</v>
      </c>
      <c r="D298" s="8" t="s">
        <v>35</v>
      </c>
      <c r="E298" s="8" t="n">
        <v>2024</v>
      </c>
      <c r="F298" s="8" t="s">
        <v>36</v>
      </c>
      <c r="G298" s="8" t="s">
        <v>56</v>
      </c>
      <c r="H298" s="9" t="n">
        <v>3712161.75</v>
      </c>
      <c r="I298" s="9" t="n">
        <v>2077431.76</v>
      </c>
      <c r="J298" s="9" t="n">
        <v>276896.05</v>
      </c>
      <c r="K298" s="9" t="n">
        <v>1357833.94</v>
      </c>
      <c r="L298" s="8" t="n">
        <v>60</v>
      </c>
      <c r="M298" s="8" t="n">
        <v>1602</v>
      </c>
      <c r="N298" s="10" t="n">
        <v>36.58</v>
      </c>
    </row>
    <row r="299" customFormat="false" ht="15" hidden="false" customHeight="false" outlineLevel="0" collapsed="false">
      <c r="A299" s="8" t="s">
        <v>91</v>
      </c>
      <c r="B299" s="8" t="s">
        <v>92</v>
      </c>
      <c r="C299" s="8" t="s">
        <v>84</v>
      </c>
      <c r="D299" s="8" t="s">
        <v>35</v>
      </c>
      <c r="E299" s="8" t="n">
        <v>2024</v>
      </c>
      <c r="F299" s="8" t="s">
        <v>38</v>
      </c>
      <c r="G299" s="8" t="s">
        <v>57</v>
      </c>
      <c r="H299" s="9" t="n">
        <v>4628528.93</v>
      </c>
      <c r="I299" s="9" t="n">
        <v>3037533.69</v>
      </c>
      <c r="J299" s="9" t="n">
        <v>312752.34</v>
      </c>
      <c r="K299" s="9" t="n">
        <v>1278242.9</v>
      </c>
      <c r="L299" s="8" t="n">
        <v>59</v>
      </c>
      <c r="M299" s="8" t="n">
        <v>3025</v>
      </c>
      <c r="N299" s="10" t="n">
        <v>27.62</v>
      </c>
    </row>
    <row r="300" customFormat="false" ht="15" hidden="false" customHeight="false" outlineLevel="0" collapsed="false">
      <c r="A300" s="8" t="s">
        <v>91</v>
      </c>
      <c r="B300" s="8" t="s">
        <v>92</v>
      </c>
      <c r="C300" s="8" t="s">
        <v>84</v>
      </c>
      <c r="D300" s="8" t="s">
        <v>35</v>
      </c>
      <c r="E300" s="8" t="n">
        <v>2024</v>
      </c>
      <c r="F300" s="8" t="s">
        <v>40</v>
      </c>
      <c r="G300" s="8" t="s">
        <v>58</v>
      </c>
      <c r="H300" s="9" t="n">
        <v>3831673.75</v>
      </c>
      <c r="I300" s="9" t="n">
        <v>2566438.61</v>
      </c>
      <c r="J300" s="9" t="n">
        <v>306083.34</v>
      </c>
      <c r="K300" s="9" t="n">
        <v>959151.8</v>
      </c>
      <c r="L300" s="8" t="n">
        <v>56</v>
      </c>
      <c r="M300" s="8" t="n">
        <v>1733</v>
      </c>
      <c r="N300" s="10" t="n">
        <v>25.03</v>
      </c>
    </row>
    <row r="301" customFormat="false" ht="15" hidden="false" customHeight="false" outlineLevel="0" collapsed="false">
      <c r="A301" s="8" t="s">
        <v>91</v>
      </c>
      <c r="B301" s="8" t="s">
        <v>92</v>
      </c>
      <c r="C301" s="8" t="s">
        <v>84</v>
      </c>
      <c r="D301" s="8" t="s">
        <v>35</v>
      </c>
      <c r="E301" s="8" t="n">
        <v>2024</v>
      </c>
      <c r="F301" s="8" t="s">
        <v>42</v>
      </c>
      <c r="G301" s="8" t="s">
        <v>59</v>
      </c>
      <c r="H301" s="9" t="n">
        <v>3805181.55</v>
      </c>
      <c r="I301" s="9" t="n">
        <v>2621351.87</v>
      </c>
      <c r="J301" s="9" t="n">
        <v>119895.63</v>
      </c>
      <c r="K301" s="9" t="n">
        <v>1063934.05</v>
      </c>
      <c r="L301" s="8" t="n">
        <v>56</v>
      </c>
      <c r="M301" s="8" t="n">
        <v>2758</v>
      </c>
      <c r="N301" s="10" t="n">
        <v>27.96</v>
      </c>
    </row>
    <row r="302" customFormat="false" ht="15" hidden="false" customHeight="false" outlineLevel="0" collapsed="false">
      <c r="A302" s="8" t="s">
        <v>93</v>
      </c>
      <c r="B302" s="8" t="s">
        <v>94</v>
      </c>
      <c r="C302" s="8" t="s">
        <v>95</v>
      </c>
      <c r="D302" s="8" t="s">
        <v>73</v>
      </c>
      <c r="E302" s="8" t="n">
        <v>2020</v>
      </c>
      <c r="F302" s="8" t="s">
        <v>36</v>
      </c>
      <c r="G302" s="8" t="s">
        <v>37</v>
      </c>
      <c r="H302" s="9" t="n">
        <v>7635690.3</v>
      </c>
      <c r="I302" s="9" t="n">
        <v>4562223.35</v>
      </c>
      <c r="J302" s="9" t="n">
        <v>478437.23</v>
      </c>
      <c r="K302" s="9" t="n">
        <v>2595029.72</v>
      </c>
      <c r="L302" s="8" t="n">
        <v>316</v>
      </c>
      <c r="M302" s="8" t="n">
        <v>5252</v>
      </c>
      <c r="N302" s="10" t="n">
        <v>33.99</v>
      </c>
    </row>
    <row r="303" customFormat="false" ht="15" hidden="false" customHeight="false" outlineLevel="0" collapsed="false">
      <c r="A303" s="8" t="s">
        <v>93</v>
      </c>
      <c r="B303" s="8" t="s">
        <v>94</v>
      </c>
      <c r="C303" s="8" t="s">
        <v>95</v>
      </c>
      <c r="D303" s="8" t="s">
        <v>73</v>
      </c>
      <c r="E303" s="8" t="n">
        <v>2020</v>
      </c>
      <c r="F303" s="8" t="s">
        <v>38</v>
      </c>
      <c r="G303" s="8" t="s">
        <v>39</v>
      </c>
      <c r="H303" s="9" t="n">
        <v>7822405.89</v>
      </c>
      <c r="I303" s="9" t="n">
        <v>4713274.34</v>
      </c>
      <c r="J303" s="9" t="n">
        <v>690295.81</v>
      </c>
      <c r="K303" s="9" t="n">
        <v>2418835.74</v>
      </c>
      <c r="L303" s="8" t="n">
        <v>319</v>
      </c>
      <c r="M303" s="8" t="n">
        <v>3163</v>
      </c>
      <c r="N303" s="10" t="n">
        <v>30.92</v>
      </c>
    </row>
    <row r="304" customFormat="false" ht="15" hidden="false" customHeight="false" outlineLevel="0" collapsed="false">
      <c r="A304" s="8" t="s">
        <v>93</v>
      </c>
      <c r="B304" s="8" t="s">
        <v>94</v>
      </c>
      <c r="C304" s="8" t="s">
        <v>95</v>
      </c>
      <c r="D304" s="8" t="s">
        <v>73</v>
      </c>
      <c r="E304" s="8" t="n">
        <v>2020</v>
      </c>
      <c r="F304" s="8" t="s">
        <v>40</v>
      </c>
      <c r="G304" s="8" t="s">
        <v>41</v>
      </c>
      <c r="H304" s="9" t="n">
        <v>7597784.37</v>
      </c>
      <c r="I304" s="9" t="n">
        <v>4239208.05</v>
      </c>
      <c r="J304" s="9" t="n">
        <v>229265.13</v>
      </c>
      <c r="K304" s="9" t="n">
        <v>3129311.19</v>
      </c>
      <c r="L304" s="8" t="n">
        <v>317</v>
      </c>
      <c r="M304" s="8" t="n">
        <v>6299</v>
      </c>
      <c r="N304" s="10" t="n">
        <v>41.19</v>
      </c>
    </row>
    <row r="305" customFormat="false" ht="15" hidden="false" customHeight="false" outlineLevel="0" collapsed="false">
      <c r="A305" s="8" t="s">
        <v>93</v>
      </c>
      <c r="B305" s="8" t="s">
        <v>94</v>
      </c>
      <c r="C305" s="8" t="s">
        <v>95</v>
      </c>
      <c r="D305" s="8" t="s">
        <v>73</v>
      </c>
      <c r="E305" s="8" t="n">
        <v>2020</v>
      </c>
      <c r="F305" s="8" t="s">
        <v>42</v>
      </c>
      <c r="G305" s="8" t="s">
        <v>43</v>
      </c>
      <c r="H305" s="9" t="n">
        <v>6789432.93</v>
      </c>
      <c r="I305" s="9" t="n">
        <v>4184119.77</v>
      </c>
      <c r="J305" s="9" t="n">
        <v>599452.35</v>
      </c>
      <c r="K305" s="9" t="n">
        <v>2005860.81</v>
      </c>
      <c r="L305" s="8" t="n">
        <v>318</v>
      </c>
      <c r="M305" s="8" t="n">
        <v>3693</v>
      </c>
      <c r="N305" s="10" t="n">
        <v>29.54</v>
      </c>
    </row>
    <row r="306" customFormat="false" ht="15" hidden="false" customHeight="false" outlineLevel="0" collapsed="false">
      <c r="A306" s="8" t="s">
        <v>93</v>
      </c>
      <c r="B306" s="8" t="s">
        <v>94</v>
      </c>
      <c r="C306" s="8" t="s">
        <v>95</v>
      </c>
      <c r="D306" s="8" t="s">
        <v>73</v>
      </c>
      <c r="E306" s="8" t="n">
        <v>2021</v>
      </c>
      <c r="F306" s="8" t="s">
        <v>36</v>
      </c>
      <c r="G306" s="8" t="s">
        <v>44</v>
      </c>
      <c r="H306" s="9" t="n">
        <v>8253020.58</v>
      </c>
      <c r="I306" s="9" t="n">
        <v>5949001.71</v>
      </c>
      <c r="J306" s="9" t="n">
        <v>513506.65</v>
      </c>
      <c r="K306" s="9" t="n">
        <v>1790512.22</v>
      </c>
      <c r="L306" s="8" t="n">
        <v>319</v>
      </c>
      <c r="M306" s="8" t="n">
        <v>5200</v>
      </c>
      <c r="N306" s="10" t="n">
        <v>21.7</v>
      </c>
    </row>
    <row r="307" customFormat="false" ht="15" hidden="false" customHeight="false" outlineLevel="0" collapsed="false">
      <c r="A307" s="8" t="s">
        <v>93</v>
      </c>
      <c r="B307" s="8" t="s">
        <v>94</v>
      </c>
      <c r="C307" s="8" t="s">
        <v>95</v>
      </c>
      <c r="D307" s="8" t="s">
        <v>73</v>
      </c>
      <c r="E307" s="8" t="n">
        <v>2021</v>
      </c>
      <c r="F307" s="8" t="s">
        <v>38</v>
      </c>
      <c r="G307" s="8" t="s">
        <v>45</v>
      </c>
      <c r="H307" s="9" t="n">
        <v>8276952.94</v>
      </c>
      <c r="I307" s="9" t="n">
        <v>5400989.45</v>
      </c>
      <c r="J307" s="9" t="n">
        <v>532397.77</v>
      </c>
      <c r="K307" s="9" t="n">
        <v>2343565.72</v>
      </c>
      <c r="L307" s="8" t="n">
        <v>320</v>
      </c>
      <c r="M307" s="8" t="n">
        <v>5611</v>
      </c>
      <c r="N307" s="10" t="n">
        <v>28.31</v>
      </c>
    </row>
    <row r="308" customFormat="false" ht="15" hidden="false" customHeight="false" outlineLevel="0" collapsed="false">
      <c r="A308" s="8" t="s">
        <v>93</v>
      </c>
      <c r="B308" s="8" t="s">
        <v>94</v>
      </c>
      <c r="C308" s="8" t="s">
        <v>95</v>
      </c>
      <c r="D308" s="8" t="s">
        <v>73</v>
      </c>
      <c r="E308" s="8" t="n">
        <v>2021</v>
      </c>
      <c r="F308" s="8" t="s">
        <v>40</v>
      </c>
      <c r="G308" s="8" t="s">
        <v>46</v>
      </c>
      <c r="H308" s="9" t="n">
        <v>7729699.43</v>
      </c>
      <c r="I308" s="9" t="n">
        <v>5611549.5</v>
      </c>
      <c r="J308" s="9" t="n">
        <v>478437.23</v>
      </c>
      <c r="K308" s="9" t="n">
        <v>1639712.7</v>
      </c>
      <c r="L308" s="8" t="n">
        <v>322</v>
      </c>
      <c r="M308" s="8" t="n">
        <v>3967</v>
      </c>
      <c r="N308" s="10" t="n">
        <v>21.21</v>
      </c>
    </row>
    <row r="309" customFormat="false" ht="15" hidden="false" customHeight="false" outlineLevel="0" collapsed="false">
      <c r="A309" s="8" t="s">
        <v>93</v>
      </c>
      <c r="B309" s="8" t="s">
        <v>94</v>
      </c>
      <c r="C309" s="8" t="s">
        <v>95</v>
      </c>
      <c r="D309" s="8" t="s">
        <v>73</v>
      </c>
      <c r="E309" s="8" t="n">
        <v>2021</v>
      </c>
      <c r="F309" s="8" t="s">
        <v>42</v>
      </c>
      <c r="G309" s="8" t="s">
        <v>47</v>
      </c>
      <c r="H309" s="9" t="n">
        <v>6879366.27</v>
      </c>
      <c r="I309" s="9" t="n">
        <v>3964563.81</v>
      </c>
      <c r="J309" s="9" t="n">
        <v>616178.03</v>
      </c>
      <c r="K309" s="9" t="n">
        <v>2298624.43</v>
      </c>
      <c r="L309" s="8" t="n">
        <v>322</v>
      </c>
      <c r="M309" s="8" t="n">
        <v>4534</v>
      </c>
      <c r="N309" s="10" t="n">
        <v>33.41</v>
      </c>
    </row>
    <row r="310" customFormat="false" ht="15" hidden="false" customHeight="false" outlineLevel="0" collapsed="false">
      <c r="A310" s="8" t="s">
        <v>93</v>
      </c>
      <c r="B310" s="8" t="s">
        <v>94</v>
      </c>
      <c r="C310" s="8" t="s">
        <v>95</v>
      </c>
      <c r="D310" s="8" t="s">
        <v>73</v>
      </c>
      <c r="E310" s="8" t="n">
        <v>2022</v>
      </c>
      <c r="F310" s="8" t="s">
        <v>36</v>
      </c>
      <c r="G310" s="8" t="s">
        <v>48</v>
      </c>
      <c r="H310" s="9" t="n">
        <v>7617765.6</v>
      </c>
      <c r="I310" s="9" t="n">
        <v>5217571.98</v>
      </c>
      <c r="J310" s="9" t="n">
        <v>346535.17</v>
      </c>
      <c r="K310" s="9" t="n">
        <v>2053658.45</v>
      </c>
      <c r="L310" s="8" t="n">
        <v>323</v>
      </c>
      <c r="M310" s="8" t="n">
        <v>3145</v>
      </c>
      <c r="N310" s="10" t="n">
        <v>26.96</v>
      </c>
    </row>
    <row r="311" customFormat="false" ht="15" hidden="false" customHeight="false" outlineLevel="0" collapsed="false">
      <c r="A311" s="8" t="s">
        <v>93</v>
      </c>
      <c r="B311" s="8" t="s">
        <v>94</v>
      </c>
      <c r="C311" s="8" t="s">
        <v>95</v>
      </c>
      <c r="D311" s="8" t="s">
        <v>73</v>
      </c>
      <c r="E311" s="8" t="n">
        <v>2022</v>
      </c>
      <c r="F311" s="8" t="s">
        <v>38</v>
      </c>
      <c r="G311" s="8" t="s">
        <v>49</v>
      </c>
      <c r="H311" s="9" t="n">
        <v>7730698.85</v>
      </c>
      <c r="I311" s="9" t="n">
        <v>5235849.84</v>
      </c>
      <c r="J311" s="9" t="n">
        <v>232646.93</v>
      </c>
      <c r="K311" s="9" t="n">
        <v>2262202.08</v>
      </c>
      <c r="L311" s="8" t="n">
        <v>321</v>
      </c>
      <c r="M311" s="8" t="n">
        <v>3929</v>
      </c>
      <c r="N311" s="10" t="n">
        <v>29.26</v>
      </c>
    </row>
    <row r="312" customFormat="false" ht="15" hidden="false" customHeight="false" outlineLevel="0" collapsed="false">
      <c r="A312" s="8" t="s">
        <v>93</v>
      </c>
      <c r="B312" s="8" t="s">
        <v>94</v>
      </c>
      <c r="C312" s="8" t="s">
        <v>95</v>
      </c>
      <c r="D312" s="8" t="s">
        <v>73</v>
      </c>
      <c r="E312" s="8" t="n">
        <v>2022</v>
      </c>
      <c r="F312" s="8" t="s">
        <v>40</v>
      </c>
      <c r="G312" s="8" t="s">
        <v>50</v>
      </c>
      <c r="H312" s="9" t="n">
        <v>7971178.78</v>
      </c>
      <c r="I312" s="9" t="n">
        <v>4531272.04</v>
      </c>
      <c r="J312" s="9" t="n">
        <v>556068.4</v>
      </c>
      <c r="K312" s="9" t="n">
        <v>2883838.34</v>
      </c>
      <c r="L312" s="8" t="n">
        <v>321</v>
      </c>
      <c r="M312" s="8" t="n">
        <v>3420</v>
      </c>
      <c r="N312" s="10" t="n">
        <v>36.18</v>
      </c>
    </row>
    <row r="313" customFormat="false" ht="15" hidden="false" customHeight="false" outlineLevel="0" collapsed="false">
      <c r="A313" s="8" t="s">
        <v>93</v>
      </c>
      <c r="B313" s="8" t="s">
        <v>94</v>
      </c>
      <c r="C313" s="8" t="s">
        <v>95</v>
      </c>
      <c r="D313" s="8" t="s">
        <v>73</v>
      </c>
      <c r="E313" s="8" t="n">
        <v>2022</v>
      </c>
      <c r="F313" s="8" t="s">
        <v>42</v>
      </c>
      <c r="G313" s="8" t="s">
        <v>51</v>
      </c>
      <c r="H313" s="9" t="n">
        <v>7762755.64</v>
      </c>
      <c r="I313" s="9" t="n">
        <v>4820316.17</v>
      </c>
      <c r="J313" s="9" t="n">
        <v>270227.74</v>
      </c>
      <c r="K313" s="9" t="n">
        <v>2672211.73</v>
      </c>
      <c r="L313" s="8" t="n">
        <v>319</v>
      </c>
      <c r="M313" s="8" t="n">
        <v>3973</v>
      </c>
      <c r="N313" s="10" t="n">
        <v>34.42</v>
      </c>
    </row>
    <row r="314" customFormat="false" ht="15" hidden="false" customHeight="false" outlineLevel="0" collapsed="false">
      <c r="A314" s="8" t="s">
        <v>93</v>
      </c>
      <c r="B314" s="8" t="s">
        <v>94</v>
      </c>
      <c r="C314" s="8" t="s">
        <v>95</v>
      </c>
      <c r="D314" s="8" t="s">
        <v>73</v>
      </c>
      <c r="E314" s="8" t="n">
        <v>2023</v>
      </c>
      <c r="F314" s="8" t="s">
        <v>36</v>
      </c>
      <c r="G314" s="8" t="s">
        <v>52</v>
      </c>
      <c r="H314" s="9" t="n">
        <v>7728680.74</v>
      </c>
      <c r="I314" s="9" t="n">
        <v>4465432.84</v>
      </c>
      <c r="J314" s="9" t="n">
        <v>464719.52</v>
      </c>
      <c r="K314" s="9" t="n">
        <v>2798528.38</v>
      </c>
      <c r="L314" s="8" t="n">
        <v>320</v>
      </c>
      <c r="M314" s="8" t="n">
        <v>3752</v>
      </c>
      <c r="N314" s="10" t="n">
        <v>36.21</v>
      </c>
    </row>
    <row r="315" customFormat="false" ht="15" hidden="false" customHeight="false" outlineLevel="0" collapsed="false">
      <c r="A315" s="8" t="s">
        <v>93</v>
      </c>
      <c r="B315" s="8" t="s">
        <v>94</v>
      </c>
      <c r="C315" s="8" t="s">
        <v>95</v>
      </c>
      <c r="D315" s="8" t="s">
        <v>73</v>
      </c>
      <c r="E315" s="8" t="n">
        <v>2023</v>
      </c>
      <c r="F315" s="8" t="s">
        <v>38</v>
      </c>
      <c r="G315" s="8" t="s">
        <v>53</v>
      </c>
      <c r="H315" s="9" t="n">
        <v>7846696.23</v>
      </c>
      <c r="I315" s="9" t="n">
        <v>5153659.03</v>
      </c>
      <c r="J315" s="9" t="n">
        <v>266682.77</v>
      </c>
      <c r="K315" s="9" t="n">
        <v>2426354.43</v>
      </c>
      <c r="L315" s="8" t="n">
        <v>321</v>
      </c>
      <c r="M315" s="8" t="n">
        <v>4825</v>
      </c>
      <c r="N315" s="10" t="n">
        <v>30.92</v>
      </c>
    </row>
    <row r="316" customFormat="false" ht="15" hidden="false" customHeight="false" outlineLevel="0" collapsed="false">
      <c r="A316" s="8" t="s">
        <v>93</v>
      </c>
      <c r="B316" s="8" t="s">
        <v>94</v>
      </c>
      <c r="C316" s="8" t="s">
        <v>95</v>
      </c>
      <c r="D316" s="8" t="s">
        <v>73</v>
      </c>
      <c r="E316" s="8" t="n">
        <v>2023</v>
      </c>
      <c r="F316" s="8" t="s">
        <v>40</v>
      </c>
      <c r="G316" s="8" t="s">
        <v>54</v>
      </c>
      <c r="H316" s="9" t="n">
        <v>8024497.03</v>
      </c>
      <c r="I316" s="9" t="n">
        <v>4760214.07</v>
      </c>
      <c r="J316" s="9" t="n">
        <v>629773.42</v>
      </c>
      <c r="K316" s="9" t="n">
        <v>2634509.54</v>
      </c>
      <c r="L316" s="8" t="n">
        <v>322</v>
      </c>
      <c r="M316" s="8" t="n">
        <v>8774</v>
      </c>
      <c r="N316" s="10" t="n">
        <v>32.83</v>
      </c>
    </row>
    <row r="317" customFormat="false" ht="15" hidden="false" customHeight="false" outlineLevel="0" collapsed="false">
      <c r="A317" s="8" t="s">
        <v>93</v>
      </c>
      <c r="B317" s="8" t="s">
        <v>94</v>
      </c>
      <c r="C317" s="8" t="s">
        <v>95</v>
      </c>
      <c r="D317" s="8" t="s">
        <v>73</v>
      </c>
      <c r="E317" s="8" t="n">
        <v>2023</v>
      </c>
      <c r="F317" s="8" t="s">
        <v>42</v>
      </c>
      <c r="G317" s="8" t="s">
        <v>55</v>
      </c>
      <c r="H317" s="9" t="n">
        <v>7084444.93</v>
      </c>
      <c r="I317" s="9" t="n">
        <v>4505609.32</v>
      </c>
      <c r="J317" s="9" t="n">
        <v>506888.99</v>
      </c>
      <c r="K317" s="9" t="n">
        <v>2071946.62</v>
      </c>
      <c r="L317" s="8" t="n">
        <v>320</v>
      </c>
      <c r="M317" s="8" t="n">
        <v>5364</v>
      </c>
      <c r="N317" s="10" t="n">
        <v>29.25</v>
      </c>
    </row>
    <row r="318" customFormat="false" ht="15" hidden="false" customHeight="false" outlineLevel="0" collapsed="false">
      <c r="A318" s="8" t="s">
        <v>93</v>
      </c>
      <c r="B318" s="8" t="s">
        <v>94</v>
      </c>
      <c r="C318" s="8" t="s">
        <v>95</v>
      </c>
      <c r="D318" s="8" t="s">
        <v>73</v>
      </c>
      <c r="E318" s="8" t="n">
        <v>2024</v>
      </c>
      <c r="F318" s="8" t="s">
        <v>36</v>
      </c>
      <c r="G318" s="8" t="s">
        <v>56</v>
      </c>
      <c r="H318" s="9" t="n">
        <v>7244519.88</v>
      </c>
      <c r="I318" s="9" t="n">
        <v>4636671.46</v>
      </c>
      <c r="J318" s="9" t="n">
        <v>384353.49</v>
      </c>
      <c r="K318" s="9" t="n">
        <v>2223494.93</v>
      </c>
      <c r="L318" s="8" t="n">
        <v>319</v>
      </c>
      <c r="M318" s="8" t="n">
        <v>7483</v>
      </c>
      <c r="N318" s="10" t="n">
        <v>30.69</v>
      </c>
    </row>
    <row r="319" customFormat="false" ht="15" hidden="false" customHeight="false" outlineLevel="0" collapsed="false">
      <c r="A319" s="8" t="s">
        <v>93</v>
      </c>
      <c r="B319" s="8" t="s">
        <v>94</v>
      </c>
      <c r="C319" s="8" t="s">
        <v>95</v>
      </c>
      <c r="D319" s="8" t="s">
        <v>73</v>
      </c>
      <c r="E319" s="8" t="n">
        <v>2024</v>
      </c>
      <c r="F319" s="8" t="s">
        <v>38</v>
      </c>
      <c r="G319" s="8" t="s">
        <v>57</v>
      </c>
      <c r="H319" s="9" t="n">
        <v>8652860.61</v>
      </c>
      <c r="I319" s="9" t="n">
        <v>5401413.98</v>
      </c>
      <c r="J319" s="9" t="n">
        <v>561846.89</v>
      </c>
      <c r="K319" s="9" t="n">
        <v>2689599.74</v>
      </c>
      <c r="L319" s="8" t="n">
        <v>322</v>
      </c>
      <c r="M319" s="8" t="n">
        <v>4391</v>
      </c>
      <c r="N319" s="10" t="n">
        <v>31.08</v>
      </c>
    </row>
    <row r="320" customFormat="false" ht="15" hidden="false" customHeight="false" outlineLevel="0" collapsed="false">
      <c r="A320" s="8" t="s">
        <v>93</v>
      </c>
      <c r="B320" s="8" t="s">
        <v>94</v>
      </c>
      <c r="C320" s="8" t="s">
        <v>95</v>
      </c>
      <c r="D320" s="8" t="s">
        <v>73</v>
      </c>
      <c r="E320" s="8" t="n">
        <v>2024</v>
      </c>
      <c r="F320" s="8" t="s">
        <v>40</v>
      </c>
      <c r="G320" s="8" t="s">
        <v>58</v>
      </c>
      <c r="H320" s="9" t="n">
        <v>7373352.01</v>
      </c>
      <c r="I320" s="9" t="n">
        <v>4121377.06</v>
      </c>
      <c r="J320" s="9" t="n">
        <v>506876.89</v>
      </c>
      <c r="K320" s="9" t="n">
        <v>2745098.06</v>
      </c>
      <c r="L320" s="8" t="n">
        <v>321</v>
      </c>
      <c r="M320" s="8" t="n">
        <v>5105</v>
      </c>
      <c r="N320" s="10" t="n">
        <v>37.23</v>
      </c>
    </row>
    <row r="321" customFormat="false" ht="15" hidden="false" customHeight="false" outlineLevel="0" collapsed="false">
      <c r="A321" s="8" t="s">
        <v>93</v>
      </c>
      <c r="B321" s="8" t="s">
        <v>94</v>
      </c>
      <c r="C321" s="8" t="s">
        <v>95</v>
      </c>
      <c r="D321" s="8" t="s">
        <v>73</v>
      </c>
      <c r="E321" s="8" t="n">
        <v>2024</v>
      </c>
      <c r="F321" s="8" t="s">
        <v>42</v>
      </c>
      <c r="G321" s="8" t="s">
        <v>59</v>
      </c>
      <c r="H321" s="9" t="n">
        <v>6508421.66</v>
      </c>
      <c r="I321" s="9" t="n">
        <v>3672978.15</v>
      </c>
      <c r="J321" s="9" t="n">
        <v>328260.38</v>
      </c>
      <c r="K321" s="9" t="n">
        <v>2507183.13</v>
      </c>
      <c r="L321" s="8" t="n">
        <v>322</v>
      </c>
      <c r="M321" s="8" t="n">
        <v>3335</v>
      </c>
      <c r="N321" s="10" t="n">
        <v>38.52</v>
      </c>
    </row>
    <row r="322" customFormat="false" ht="15" hidden="false" customHeight="false" outlineLevel="0" collapsed="false">
      <c r="A322" s="8" t="s">
        <v>96</v>
      </c>
      <c r="B322" s="8" t="s">
        <v>97</v>
      </c>
      <c r="C322" s="8" t="s">
        <v>95</v>
      </c>
      <c r="D322" s="8" t="s">
        <v>35</v>
      </c>
      <c r="E322" s="8" t="n">
        <v>2020</v>
      </c>
      <c r="F322" s="8" t="s">
        <v>36</v>
      </c>
      <c r="G322" s="8" t="s">
        <v>37</v>
      </c>
      <c r="H322" s="9" t="n">
        <v>8309968.94</v>
      </c>
      <c r="I322" s="9" t="n">
        <v>4848633.75</v>
      </c>
      <c r="J322" s="9" t="n">
        <v>301781.1</v>
      </c>
      <c r="K322" s="9" t="n">
        <v>3159554.09</v>
      </c>
      <c r="L322" s="8" t="n">
        <v>423</v>
      </c>
      <c r="M322" s="8" t="n">
        <v>8061</v>
      </c>
      <c r="N322" s="10" t="n">
        <v>38.02</v>
      </c>
    </row>
    <row r="323" customFormat="false" ht="15" hidden="false" customHeight="false" outlineLevel="0" collapsed="false">
      <c r="A323" s="8" t="s">
        <v>96</v>
      </c>
      <c r="B323" s="8" t="s">
        <v>97</v>
      </c>
      <c r="C323" s="8" t="s">
        <v>95</v>
      </c>
      <c r="D323" s="8" t="s">
        <v>35</v>
      </c>
      <c r="E323" s="8" t="n">
        <v>2020</v>
      </c>
      <c r="F323" s="8" t="s">
        <v>38</v>
      </c>
      <c r="G323" s="8" t="s">
        <v>39</v>
      </c>
      <c r="H323" s="9" t="n">
        <v>8559972.62</v>
      </c>
      <c r="I323" s="9" t="n">
        <v>4760981.08</v>
      </c>
      <c r="J323" s="9" t="n">
        <v>276827.47</v>
      </c>
      <c r="K323" s="9" t="n">
        <v>3522164.07</v>
      </c>
      <c r="L323" s="8" t="n">
        <v>422</v>
      </c>
      <c r="M323" s="8" t="n">
        <v>10194</v>
      </c>
      <c r="N323" s="10" t="n">
        <v>41.15</v>
      </c>
    </row>
    <row r="324" customFormat="false" ht="15" hidden="false" customHeight="false" outlineLevel="0" collapsed="false">
      <c r="A324" s="8" t="s">
        <v>96</v>
      </c>
      <c r="B324" s="8" t="s">
        <v>97</v>
      </c>
      <c r="C324" s="8" t="s">
        <v>95</v>
      </c>
      <c r="D324" s="8" t="s">
        <v>35</v>
      </c>
      <c r="E324" s="8" t="n">
        <v>2020</v>
      </c>
      <c r="F324" s="8" t="s">
        <v>40</v>
      </c>
      <c r="G324" s="8" t="s">
        <v>41</v>
      </c>
      <c r="H324" s="9" t="n">
        <v>7786559.34</v>
      </c>
      <c r="I324" s="9" t="n">
        <v>5583710.93</v>
      </c>
      <c r="J324" s="9" t="n">
        <v>294354.27</v>
      </c>
      <c r="K324" s="9" t="n">
        <v>1908494.14</v>
      </c>
      <c r="L324" s="8" t="n">
        <v>424</v>
      </c>
      <c r="M324" s="8" t="n">
        <v>4848</v>
      </c>
      <c r="N324" s="10" t="n">
        <v>24.51</v>
      </c>
    </row>
    <row r="325" customFormat="false" ht="15" hidden="false" customHeight="false" outlineLevel="0" collapsed="false">
      <c r="A325" s="8" t="s">
        <v>96</v>
      </c>
      <c r="B325" s="8" t="s">
        <v>97</v>
      </c>
      <c r="C325" s="8" t="s">
        <v>95</v>
      </c>
      <c r="D325" s="8" t="s">
        <v>35</v>
      </c>
      <c r="E325" s="8" t="n">
        <v>2020</v>
      </c>
      <c r="F325" s="8" t="s">
        <v>42</v>
      </c>
      <c r="G325" s="8" t="s">
        <v>43</v>
      </c>
      <c r="H325" s="9" t="n">
        <v>6689924.2</v>
      </c>
      <c r="I325" s="9" t="n">
        <v>4785580.22</v>
      </c>
      <c r="J325" s="9" t="n">
        <v>442716.25</v>
      </c>
      <c r="K325" s="9" t="n">
        <v>1461627.73</v>
      </c>
      <c r="L325" s="8" t="n">
        <v>426</v>
      </c>
      <c r="M325" s="8" t="n">
        <v>4596</v>
      </c>
      <c r="N325" s="10" t="n">
        <v>21.85</v>
      </c>
    </row>
    <row r="326" customFormat="false" ht="15" hidden="false" customHeight="false" outlineLevel="0" collapsed="false">
      <c r="A326" s="8" t="s">
        <v>96</v>
      </c>
      <c r="B326" s="8" t="s">
        <v>97</v>
      </c>
      <c r="C326" s="8" t="s">
        <v>95</v>
      </c>
      <c r="D326" s="8" t="s">
        <v>35</v>
      </c>
      <c r="E326" s="8" t="n">
        <v>2021</v>
      </c>
      <c r="F326" s="8" t="s">
        <v>36</v>
      </c>
      <c r="G326" s="8" t="s">
        <v>44</v>
      </c>
      <c r="H326" s="9" t="n">
        <v>7410163.49</v>
      </c>
      <c r="I326" s="9" t="n">
        <v>4878414.17</v>
      </c>
      <c r="J326" s="9" t="n">
        <v>468490.46</v>
      </c>
      <c r="K326" s="9" t="n">
        <v>2063258.86</v>
      </c>
      <c r="L326" s="8" t="n">
        <v>424</v>
      </c>
      <c r="M326" s="8" t="n">
        <v>4784</v>
      </c>
      <c r="N326" s="10" t="n">
        <v>27.84</v>
      </c>
    </row>
    <row r="327" customFormat="false" ht="15" hidden="false" customHeight="false" outlineLevel="0" collapsed="false">
      <c r="A327" s="8" t="s">
        <v>96</v>
      </c>
      <c r="B327" s="8" t="s">
        <v>97</v>
      </c>
      <c r="C327" s="8" t="s">
        <v>95</v>
      </c>
      <c r="D327" s="8" t="s">
        <v>35</v>
      </c>
      <c r="E327" s="8" t="n">
        <v>2021</v>
      </c>
      <c r="F327" s="8" t="s">
        <v>38</v>
      </c>
      <c r="G327" s="8" t="s">
        <v>45</v>
      </c>
      <c r="H327" s="9" t="n">
        <v>8767811.31</v>
      </c>
      <c r="I327" s="9" t="n">
        <v>6065595.93</v>
      </c>
      <c r="J327" s="9" t="n">
        <v>697995.8</v>
      </c>
      <c r="K327" s="9" t="n">
        <v>2004219.58</v>
      </c>
      <c r="L327" s="8" t="n">
        <v>425</v>
      </c>
      <c r="M327" s="8" t="n">
        <v>4492</v>
      </c>
      <c r="N327" s="10" t="n">
        <v>22.86</v>
      </c>
    </row>
    <row r="328" customFormat="false" ht="15" hidden="false" customHeight="false" outlineLevel="0" collapsed="false">
      <c r="A328" s="8" t="s">
        <v>96</v>
      </c>
      <c r="B328" s="8" t="s">
        <v>97</v>
      </c>
      <c r="C328" s="8" t="s">
        <v>95</v>
      </c>
      <c r="D328" s="8" t="s">
        <v>35</v>
      </c>
      <c r="E328" s="8" t="n">
        <v>2021</v>
      </c>
      <c r="F328" s="8" t="s">
        <v>40</v>
      </c>
      <c r="G328" s="8" t="s">
        <v>46</v>
      </c>
      <c r="H328" s="9" t="n">
        <v>7983932.03</v>
      </c>
      <c r="I328" s="9" t="n">
        <v>5318045.39</v>
      </c>
      <c r="J328" s="9" t="n">
        <v>405876.14</v>
      </c>
      <c r="K328" s="9" t="n">
        <v>2260010.5</v>
      </c>
      <c r="L328" s="8" t="n">
        <v>424</v>
      </c>
      <c r="M328" s="8" t="n">
        <v>4281</v>
      </c>
      <c r="N328" s="10" t="n">
        <v>28.31</v>
      </c>
    </row>
    <row r="329" customFormat="false" ht="15" hidden="false" customHeight="false" outlineLevel="0" collapsed="false">
      <c r="A329" s="8" t="s">
        <v>96</v>
      </c>
      <c r="B329" s="8" t="s">
        <v>97</v>
      </c>
      <c r="C329" s="8" t="s">
        <v>95</v>
      </c>
      <c r="D329" s="8" t="s">
        <v>35</v>
      </c>
      <c r="E329" s="8" t="n">
        <v>2021</v>
      </c>
      <c r="F329" s="8" t="s">
        <v>42</v>
      </c>
      <c r="G329" s="8" t="s">
        <v>47</v>
      </c>
      <c r="H329" s="9" t="n">
        <v>6951680.34</v>
      </c>
      <c r="I329" s="9" t="n">
        <v>4911206.9</v>
      </c>
      <c r="J329" s="9" t="n">
        <v>295019.17</v>
      </c>
      <c r="K329" s="9" t="n">
        <v>1745454.27</v>
      </c>
      <c r="L329" s="8" t="n">
        <v>422</v>
      </c>
      <c r="M329" s="8" t="n">
        <v>5134</v>
      </c>
      <c r="N329" s="10" t="n">
        <v>25.11</v>
      </c>
    </row>
    <row r="330" customFormat="false" ht="15" hidden="false" customHeight="false" outlineLevel="0" collapsed="false">
      <c r="A330" s="8" t="s">
        <v>96</v>
      </c>
      <c r="B330" s="8" t="s">
        <v>97</v>
      </c>
      <c r="C330" s="8" t="s">
        <v>95</v>
      </c>
      <c r="D330" s="8" t="s">
        <v>35</v>
      </c>
      <c r="E330" s="8" t="n">
        <v>2022</v>
      </c>
      <c r="F330" s="8" t="s">
        <v>36</v>
      </c>
      <c r="G330" s="8" t="s">
        <v>48</v>
      </c>
      <c r="H330" s="9" t="n">
        <v>8730330.99</v>
      </c>
      <c r="I330" s="9" t="n">
        <v>6290304.37</v>
      </c>
      <c r="J330" s="9" t="n">
        <v>339426.96</v>
      </c>
      <c r="K330" s="9" t="n">
        <v>2100599.66</v>
      </c>
      <c r="L330" s="8" t="n">
        <v>421</v>
      </c>
      <c r="M330" s="8" t="n">
        <v>8517</v>
      </c>
      <c r="N330" s="10" t="n">
        <v>24.06</v>
      </c>
    </row>
    <row r="331" customFormat="false" ht="15" hidden="false" customHeight="false" outlineLevel="0" collapsed="false">
      <c r="A331" s="8" t="s">
        <v>96</v>
      </c>
      <c r="B331" s="8" t="s">
        <v>97</v>
      </c>
      <c r="C331" s="8" t="s">
        <v>95</v>
      </c>
      <c r="D331" s="8" t="s">
        <v>35</v>
      </c>
      <c r="E331" s="8" t="n">
        <v>2022</v>
      </c>
      <c r="F331" s="8" t="s">
        <v>38</v>
      </c>
      <c r="G331" s="8" t="s">
        <v>49</v>
      </c>
      <c r="H331" s="9" t="n">
        <v>8844390.2</v>
      </c>
      <c r="I331" s="9" t="n">
        <v>6141797.92</v>
      </c>
      <c r="J331" s="9" t="n">
        <v>747945.99</v>
      </c>
      <c r="K331" s="9" t="n">
        <v>1954646.29</v>
      </c>
      <c r="L331" s="8" t="n">
        <v>420</v>
      </c>
      <c r="M331" s="8" t="n">
        <v>8653</v>
      </c>
      <c r="N331" s="10" t="n">
        <v>22.1</v>
      </c>
    </row>
    <row r="332" customFormat="false" ht="15" hidden="false" customHeight="false" outlineLevel="0" collapsed="false">
      <c r="A332" s="8" t="s">
        <v>96</v>
      </c>
      <c r="B332" s="8" t="s">
        <v>97</v>
      </c>
      <c r="C332" s="8" t="s">
        <v>95</v>
      </c>
      <c r="D332" s="8" t="s">
        <v>35</v>
      </c>
      <c r="E332" s="8" t="n">
        <v>2022</v>
      </c>
      <c r="F332" s="8" t="s">
        <v>40</v>
      </c>
      <c r="G332" s="8" t="s">
        <v>50</v>
      </c>
      <c r="H332" s="9" t="n">
        <v>7844516.43</v>
      </c>
      <c r="I332" s="9" t="n">
        <v>5046819.97</v>
      </c>
      <c r="J332" s="9" t="n">
        <v>555747.54</v>
      </c>
      <c r="K332" s="9" t="n">
        <v>2241948.92</v>
      </c>
      <c r="L332" s="8" t="n">
        <v>420</v>
      </c>
      <c r="M332" s="8" t="n">
        <v>8177</v>
      </c>
      <c r="N332" s="10" t="n">
        <v>28.58</v>
      </c>
    </row>
    <row r="333" customFormat="false" ht="15" hidden="false" customHeight="false" outlineLevel="0" collapsed="false">
      <c r="A333" s="8" t="s">
        <v>96</v>
      </c>
      <c r="B333" s="8" t="s">
        <v>97</v>
      </c>
      <c r="C333" s="8" t="s">
        <v>95</v>
      </c>
      <c r="D333" s="8" t="s">
        <v>35</v>
      </c>
      <c r="E333" s="8" t="n">
        <v>2022</v>
      </c>
      <c r="F333" s="8" t="s">
        <v>42</v>
      </c>
      <c r="G333" s="8" t="s">
        <v>51</v>
      </c>
      <c r="H333" s="9" t="n">
        <v>7753146.68</v>
      </c>
      <c r="I333" s="9" t="n">
        <v>5177135.05</v>
      </c>
      <c r="J333" s="9" t="n">
        <v>634307.04</v>
      </c>
      <c r="K333" s="9" t="n">
        <v>1941704.59</v>
      </c>
      <c r="L333" s="8" t="n">
        <v>423</v>
      </c>
      <c r="M333" s="8" t="n">
        <v>6768</v>
      </c>
      <c r="N333" s="10" t="n">
        <v>25.04</v>
      </c>
    </row>
    <row r="334" customFormat="false" ht="15" hidden="false" customHeight="false" outlineLevel="0" collapsed="false">
      <c r="A334" s="8" t="s">
        <v>96</v>
      </c>
      <c r="B334" s="8" t="s">
        <v>97</v>
      </c>
      <c r="C334" s="8" t="s">
        <v>95</v>
      </c>
      <c r="D334" s="8" t="s">
        <v>35</v>
      </c>
      <c r="E334" s="8" t="n">
        <v>2023</v>
      </c>
      <c r="F334" s="8" t="s">
        <v>36</v>
      </c>
      <c r="G334" s="8" t="s">
        <v>52</v>
      </c>
      <c r="H334" s="9" t="n">
        <v>8300012.38</v>
      </c>
      <c r="I334" s="9" t="n">
        <v>5523291.43</v>
      </c>
      <c r="J334" s="9" t="n">
        <v>494178.83</v>
      </c>
      <c r="K334" s="9" t="n">
        <v>2282542.12</v>
      </c>
      <c r="L334" s="8" t="n">
        <v>423</v>
      </c>
      <c r="M334" s="8" t="n">
        <v>3952</v>
      </c>
      <c r="N334" s="10" t="n">
        <v>27.5</v>
      </c>
    </row>
    <row r="335" customFormat="false" ht="15" hidden="false" customHeight="false" outlineLevel="0" collapsed="false">
      <c r="A335" s="8" t="s">
        <v>96</v>
      </c>
      <c r="B335" s="8" t="s">
        <v>97</v>
      </c>
      <c r="C335" s="8" t="s">
        <v>95</v>
      </c>
      <c r="D335" s="8" t="s">
        <v>35</v>
      </c>
      <c r="E335" s="8" t="n">
        <v>2023</v>
      </c>
      <c r="F335" s="8" t="s">
        <v>38</v>
      </c>
      <c r="G335" s="8" t="s">
        <v>53</v>
      </c>
      <c r="H335" s="9" t="n">
        <v>8751852.18</v>
      </c>
      <c r="I335" s="9" t="n">
        <v>5647541.13</v>
      </c>
      <c r="J335" s="9" t="n">
        <v>686104.61</v>
      </c>
      <c r="K335" s="9" t="n">
        <v>2418206.44</v>
      </c>
      <c r="L335" s="8" t="n">
        <v>422</v>
      </c>
      <c r="M335" s="8" t="n">
        <v>6579</v>
      </c>
      <c r="N335" s="10" t="n">
        <v>27.63</v>
      </c>
    </row>
    <row r="336" customFormat="false" ht="15" hidden="false" customHeight="false" outlineLevel="0" collapsed="false">
      <c r="A336" s="8" t="s">
        <v>96</v>
      </c>
      <c r="B336" s="8" t="s">
        <v>97</v>
      </c>
      <c r="C336" s="8" t="s">
        <v>95</v>
      </c>
      <c r="D336" s="8" t="s">
        <v>35</v>
      </c>
      <c r="E336" s="8" t="n">
        <v>2023</v>
      </c>
      <c r="F336" s="8" t="s">
        <v>40</v>
      </c>
      <c r="G336" s="8" t="s">
        <v>54</v>
      </c>
      <c r="H336" s="9" t="n">
        <v>8529461.33</v>
      </c>
      <c r="I336" s="9" t="n">
        <v>6271512.65</v>
      </c>
      <c r="J336" s="9" t="n">
        <v>576553.64</v>
      </c>
      <c r="K336" s="9" t="n">
        <v>1681395.04</v>
      </c>
      <c r="L336" s="8" t="n">
        <v>421</v>
      </c>
      <c r="M336" s="8" t="n">
        <v>4331</v>
      </c>
      <c r="N336" s="10" t="n">
        <v>19.71</v>
      </c>
    </row>
    <row r="337" customFormat="false" ht="15" hidden="false" customHeight="false" outlineLevel="0" collapsed="false">
      <c r="A337" s="8" t="s">
        <v>96</v>
      </c>
      <c r="B337" s="8" t="s">
        <v>97</v>
      </c>
      <c r="C337" s="8" t="s">
        <v>95</v>
      </c>
      <c r="D337" s="8" t="s">
        <v>35</v>
      </c>
      <c r="E337" s="8" t="n">
        <v>2023</v>
      </c>
      <c r="F337" s="8" t="s">
        <v>42</v>
      </c>
      <c r="G337" s="8" t="s">
        <v>55</v>
      </c>
      <c r="H337" s="9" t="n">
        <v>7510252.47</v>
      </c>
      <c r="I337" s="9" t="n">
        <v>4922559.2</v>
      </c>
      <c r="J337" s="9" t="n">
        <v>618265.77</v>
      </c>
      <c r="K337" s="9" t="n">
        <v>1969427.5</v>
      </c>
      <c r="L337" s="8" t="n">
        <v>418</v>
      </c>
      <c r="M337" s="8" t="n">
        <v>3423</v>
      </c>
      <c r="N337" s="10" t="n">
        <v>26.22</v>
      </c>
    </row>
    <row r="338" customFormat="false" ht="15" hidden="false" customHeight="false" outlineLevel="0" collapsed="false">
      <c r="A338" s="8" t="s">
        <v>96</v>
      </c>
      <c r="B338" s="8" t="s">
        <v>97</v>
      </c>
      <c r="C338" s="8" t="s">
        <v>95</v>
      </c>
      <c r="D338" s="8" t="s">
        <v>35</v>
      </c>
      <c r="E338" s="8" t="n">
        <v>2024</v>
      </c>
      <c r="F338" s="8" t="s">
        <v>36</v>
      </c>
      <c r="G338" s="8" t="s">
        <v>56</v>
      </c>
      <c r="H338" s="9" t="n">
        <v>7992528.38</v>
      </c>
      <c r="I338" s="9" t="n">
        <v>4410058.62</v>
      </c>
      <c r="J338" s="9" t="n">
        <v>698921.68</v>
      </c>
      <c r="K338" s="9" t="n">
        <v>2883548.08</v>
      </c>
      <c r="L338" s="8" t="n">
        <v>415</v>
      </c>
      <c r="M338" s="8" t="n">
        <v>9695</v>
      </c>
      <c r="N338" s="10" t="n">
        <v>36.08</v>
      </c>
    </row>
    <row r="339" customFormat="false" ht="15" hidden="false" customHeight="false" outlineLevel="0" collapsed="false">
      <c r="A339" s="8" t="s">
        <v>96</v>
      </c>
      <c r="B339" s="8" t="s">
        <v>97</v>
      </c>
      <c r="C339" s="8" t="s">
        <v>95</v>
      </c>
      <c r="D339" s="8" t="s">
        <v>35</v>
      </c>
      <c r="E339" s="8" t="n">
        <v>2024</v>
      </c>
      <c r="F339" s="8" t="s">
        <v>38</v>
      </c>
      <c r="G339" s="8" t="s">
        <v>57</v>
      </c>
      <c r="H339" s="9" t="n">
        <v>9470132.45</v>
      </c>
      <c r="I339" s="9" t="n">
        <v>6407314.2</v>
      </c>
      <c r="J339" s="9" t="n">
        <v>478307.45</v>
      </c>
      <c r="K339" s="9" t="n">
        <v>2584510.8</v>
      </c>
      <c r="L339" s="8" t="n">
        <v>418</v>
      </c>
      <c r="M339" s="8" t="n">
        <v>4758</v>
      </c>
      <c r="N339" s="10" t="n">
        <v>27.29</v>
      </c>
    </row>
    <row r="340" customFormat="false" ht="15" hidden="false" customHeight="false" outlineLevel="0" collapsed="false">
      <c r="A340" s="8" t="s">
        <v>96</v>
      </c>
      <c r="B340" s="8" t="s">
        <v>97</v>
      </c>
      <c r="C340" s="8" t="s">
        <v>95</v>
      </c>
      <c r="D340" s="8" t="s">
        <v>35</v>
      </c>
      <c r="E340" s="8" t="n">
        <v>2024</v>
      </c>
      <c r="F340" s="8" t="s">
        <v>40</v>
      </c>
      <c r="G340" s="8" t="s">
        <v>58</v>
      </c>
      <c r="H340" s="9" t="n">
        <v>8439334.54</v>
      </c>
      <c r="I340" s="9" t="n">
        <v>5329512.39</v>
      </c>
      <c r="J340" s="9" t="n">
        <v>292498.56</v>
      </c>
      <c r="K340" s="9" t="n">
        <v>2817323.59</v>
      </c>
      <c r="L340" s="8" t="n">
        <v>417</v>
      </c>
      <c r="M340" s="8" t="n">
        <v>6058</v>
      </c>
      <c r="N340" s="10" t="n">
        <v>33.38</v>
      </c>
    </row>
    <row r="341" customFormat="false" ht="15" hidden="false" customHeight="false" outlineLevel="0" collapsed="false">
      <c r="A341" s="8" t="s">
        <v>96</v>
      </c>
      <c r="B341" s="8" t="s">
        <v>97</v>
      </c>
      <c r="C341" s="8" t="s">
        <v>95</v>
      </c>
      <c r="D341" s="8" t="s">
        <v>35</v>
      </c>
      <c r="E341" s="8" t="n">
        <v>2024</v>
      </c>
      <c r="F341" s="8" t="s">
        <v>42</v>
      </c>
      <c r="G341" s="8" t="s">
        <v>59</v>
      </c>
      <c r="H341" s="9" t="n">
        <v>7756910.84</v>
      </c>
      <c r="I341" s="9" t="n">
        <v>5161511.56</v>
      </c>
      <c r="J341" s="9" t="n">
        <v>526891.19</v>
      </c>
      <c r="K341" s="9" t="n">
        <v>2068508.09</v>
      </c>
      <c r="L341" s="8" t="n">
        <v>417</v>
      </c>
      <c r="M341" s="8" t="n">
        <v>3476</v>
      </c>
      <c r="N341" s="10" t="n">
        <v>26.67</v>
      </c>
    </row>
    <row r="342" customFormat="false" ht="15" hidden="false" customHeight="false" outlineLevel="0" collapsed="false">
      <c r="A342" s="8" t="s">
        <v>98</v>
      </c>
      <c r="B342" s="8" t="s">
        <v>99</v>
      </c>
      <c r="C342" s="8" t="s">
        <v>95</v>
      </c>
      <c r="D342" s="8" t="s">
        <v>62</v>
      </c>
      <c r="E342" s="8" t="n">
        <v>2020</v>
      </c>
      <c r="F342" s="8" t="s">
        <v>36</v>
      </c>
      <c r="G342" s="8" t="s">
        <v>37</v>
      </c>
      <c r="H342" s="9" t="n">
        <v>8715342.22</v>
      </c>
      <c r="I342" s="9" t="n">
        <v>5198500</v>
      </c>
      <c r="J342" s="9" t="n">
        <v>415873.73</v>
      </c>
      <c r="K342" s="9" t="n">
        <v>3100968.49</v>
      </c>
      <c r="L342" s="8" t="n">
        <v>55</v>
      </c>
      <c r="M342" s="8" t="n">
        <v>3662</v>
      </c>
      <c r="N342" s="10" t="n">
        <v>35.58</v>
      </c>
    </row>
    <row r="343" customFormat="false" ht="15" hidden="false" customHeight="false" outlineLevel="0" collapsed="false">
      <c r="A343" s="8" t="s">
        <v>98</v>
      </c>
      <c r="B343" s="8" t="s">
        <v>99</v>
      </c>
      <c r="C343" s="8" t="s">
        <v>95</v>
      </c>
      <c r="D343" s="8" t="s">
        <v>62</v>
      </c>
      <c r="E343" s="8" t="n">
        <v>2020</v>
      </c>
      <c r="F343" s="8" t="s">
        <v>38</v>
      </c>
      <c r="G343" s="8" t="s">
        <v>39</v>
      </c>
      <c r="H343" s="9" t="n">
        <v>9236218.67</v>
      </c>
      <c r="I343" s="9" t="n">
        <v>5120609.36</v>
      </c>
      <c r="J343" s="9" t="n">
        <v>424589.72</v>
      </c>
      <c r="K343" s="9" t="n">
        <v>3691019.59</v>
      </c>
      <c r="L343" s="8" t="n">
        <v>57</v>
      </c>
      <c r="M343" s="8" t="n">
        <v>5328</v>
      </c>
      <c r="N343" s="10" t="n">
        <v>39.96</v>
      </c>
    </row>
    <row r="344" customFormat="false" ht="15" hidden="false" customHeight="false" outlineLevel="0" collapsed="false">
      <c r="A344" s="8" t="s">
        <v>98</v>
      </c>
      <c r="B344" s="8" t="s">
        <v>99</v>
      </c>
      <c r="C344" s="8" t="s">
        <v>95</v>
      </c>
      <c r="D344" s="8" t="s">
        <v>62</v>
      </c>
      <c r="E344" s="8" t="n">
        <v>2020</v>
      </c>
      <c r="F344" s="8" t="s">
        <v>40</v>
      </c>
      <c r="G344" s="8" t="s">
        <v>41</v>
      </c>
      <c r="H344" s="9" t="n">
        <v>8900906.48</v>
      </c>
      <c r="I344" s="9" t="n">
        <v>6048731.06</v>
      </c>
      <c r="J344" s="9" t="n">
        <v>458119.38</v>
      </c>
      <c r="K344" s="9" t="n">
        <v>2394056.04</v>
      </c>
      <c r="L344" s="8" t="n">
        <v>59</v>
      </c>
      <c r="M344" s="8" t="n">
        <v>4956</v>
      </c>
      <c r="N344" s="10" t="n">
        <v>26.9</v>
      </c>
    </row>
    <row r="345" customFormat="false" ht="15" hidden="false" customHeight="false" outlineLevel="0" collapsed="false">
      <c r="A345" s="8" t="s">
        <v>98</v>
      </c>
      <c r="B345" s="8" t="s">
        <v>99</v>
      </c>
      <c r="C345" s="8" t="s">
        <v>95</v>
      </c>
      <c r="D345" s="8" t="s">
        <v>62</v>
      </c>
      <c r="E345" s="8" t="n">
        <v>2020</v>
      </c>
      <c r="F345" s="8" t="s">
        <v>42</v>
      </c>
      <c r="G345" s="8" t="s">
        <v>43</v>
      </c>
      <c r="H345" s="9" t="n">
        <v>8280616.22</v>
      </c>
      <c r="I345" s="9" t="n">
        <v>5684837.17</v>
      </c>
      <c r="J345" s="9" t="n">
        <v>284079.36</v>
      </c>
      <c r="K345" s="9" t="n">
        <v>2311699.69</v>
      </c>
      <c r="L345" s="8" t="n">
        <v>62</v>
      </c>
      <c r="M345" s="8" t="n">
        <v>3766</v>
      </c>
      <c r="N345" s="10" t="n">
        <v>27.92</v>
      </c>
    </row>
    <row r="346" customFormat="false" ht="15" hidden="false" customHeight="false" outlineLevel="0" collapsed="false">
      <c r="A346" s="8" t="s">
        <v>98</v>
      </c>
      <c r="B346" s="8" t="s">
        <v>99</v>
      </c>
      <c r="C346" s="8" t="s">
        <v>95</v>
      </c>
      <c r="D346" s="8" t="s">
        <v>62</v>
      </c>
      <c r="E346" s="8" t="n">
        <v>2021</v>
      </c>
      <c r="F346" s="8" t="s">
        <v>36</v>
      </c>
      <c r="G346" s="8" t="s">
        <v>44</v>
      </c>
      <c r="H346" s="9" t="n">
        <v>9438426.25</v>
      </c>
      <c r="I346" s="9" t="n">
        <v>6654743.93</v>
      </c>
      <c r="J346" s="9" t="n">
        <v>364064.24</v>
      </c>
      <c r="K346" s="9" t="n">
        <v>2419618.08</v>
      </c>
      <c r="L346" s="8" t="n">
        <v>60</v>
      </c>
      <c r="M346" s="8" t="n">
        <v>7355</v>
      </c>
      <c r="N346" s="10" t="n">
        <v>25.64</v>
      </c>
    </row>
    <row r="347" customFormat="false" ht="15" hidden="false" customHeight="false" outlineLevel="0" collapsed="false">
      <c r="A347" s="8" t="s">
        <v>98</v>
      </c>
      <c r="B347" s="8" t="s">
        <v>99</v>
      </c>
      <c r="C347" s="8" t="s">
        <v>95</v>
      </c>
      <c r="D347" s="8" t="s">
        <v>62</v>
      </c>
      <c r="E347" s="8" t="n">
        <v>2021</v>
      </c>
      <c r="F347" s="8" t="s">
        <v>38</v>
      </c>
      <c r="G347" s="8" t="s">
        <v>45</v>
      </c>
      <c r="H347" s="9" t="n">
        <v>8868198.21</v>
      </c>
      <c r="I347" s="9" t="n">
        <v>6157582.97</v>
      </c>
      <c r="J347" s="9" t="n">
        <v>704371.59</v>
      </c>
      <c r="K347" s="9" t="n">
        <v>2006243.65</v>
      </c>
      <c r="L347" s="8" t="n">
        <v>57</v>
      </c>
      <c r="M347" s="8" t="n">
        <v>9098</v>
      </c>
      <c r="N347" s="10" t="n">
        <v>22.62</v>
      </c>
    </row>
    <row r="348" customFormat="false" ht="15" hidden="false" customHeight="false" outlineLevel="0" collapsed="false">
      <c r="A348" s="8" t="s">
        <v>98</v>
      </c>
      <c r="B348" s="8" t="s">
        <v>99</v>
      </c>
      <c r="C348" s="8" t="s">
        <v>95</v>
      </c>
      <c r="D348" s="8" t="s">
        <v>62</v>
      </c>
      <c r="E348" s="8" t="n">
        <v>2021</v>
      </c>
      <c r="F348" s="8" t="s">
        <v>40</v>
      </c>
      <c r="G348" s="8" t="s">
        <v>46</v>
      </c>
      <c r="H348" s="9" t="n">
        <v>8769686.13</v>
      </c>
      <c r="I348" s="9" t="n">
        <v>6063319.75</v>
      </c>
      <c r="J348" s="9" t="n">
        <v>408405.8</v>
      </c>
      <c r="K348" s="9" t="n">
        <v>2297960.58</v>
      </c>
      <c r="L348" s="8" t="n">
        <v>54</v>
      </c>
      <c r="M348" s="8" t="n">
        <v>9011</v>
      </c>
      <c r="N348" s="10" t="n">
        <v>26.2</v>
      </c>
    </row>
    <row r="349" customFormat="false" ht="15" hidden="false" customHeight="false" outlineLevel="0" collapsed="false">
      <c r="A349" s="8" t="s">
        <v>98</v>
      </c>
      <c r="B349" s="8" t="s">
        <v>99</v>
      </c>
      <c r="C349" s="8" t="s">
        <v>95</v>
      </c>
      <c r="D349" s="8" t="s">
        <v>62</v>
      </c>
      <c r="E349" s="8" t="n">
        <v>2021</v>
      </c>
      <c r="F349" s="8" t="s">
        <v>42</v>
      </c>
      <c r="G349" s="8" t="s">
        <v>47</v>
      </c>
      <c r="H349" s="9" t="n">
        <v>8841617.13</v>
      </c>
      <c r="I349" s="9" t="n">
        <v>5861964.5</v>
      </c>
      <c r="J349" s="9" t="n">
        <v>334175.95</v>
      </c>
      <c r="K349" s="9" t="n">
        <v>2645476.68</v>
      </c>
      <c r="L349" s="8" t="n">
        <v>53</v>
      </c>
      <c r="M349" s="8" t="n">
        <v>3774</v>
      </c>
      <c r="N349" s="10" t="n">
        <v>29.92</v>
      </c>
    </row>
    <row r="350" customFormat="false" ht="15" hidden="false" customHeight="false" outlineLevel="0" collapsed="false">
      <c r="A350" s="8" t="s">
        <v>98</v>
      </c>
      <c r="B350" s="8" t="s">
        <v>99</v>
      </c>
      <c r="C350" s="8" t="s">
        <v>95</v>
      </c>
      <c r="D350" s="8" t="s">
        <v>62</v>
      </c>
      <c r="E350" s="8" t="n">
        <v>2022</v>
      </c>
      <c r="F350" s="8" t="s">
        <v>36</v>
      </c>
      <c r="G350" s="8" t="s">
        <v>48</v>
      </c>
      <c r="H350" s="9" t="n">
        <v>9532918.96</v>
      </c>
      <c r="I350" s="9" t="n">
        <v>7081201.71</v>
      </c>
      <c r="J350" s="9" t="n">
        <v>501804.11</v>
      </c>
      <c r="K350" s="9" t="n">
        <v>1949913.14</v>
      </c>
      <c r="L350" s="8" t="n">
        <v>50</v>
      </c>
      <c r="M350" s="8" t="n">
        <v>5814</v>
      </c>
      <c r="N350" s="10" t="n">
        <v>20.45</v>
      </c>
    </row>
    <row r="351" customFormat="false" ht="15" hidden="false" customHeight="false" outlineLevel="0" collapsed="false">
      <c r="A351" s="8" t="s">
        <v>98</v>
      </c>
      <c r="B351" s="8" t="s">
        <v>99</v>
      </c>
      <c r="C351" s="8" t="s">
        <v>95</v>
      </c>
      <c r="D351" s="8" t="s">
        <v>62</v>
      </c>
      <c r="E351" s="8" t="n">
        <v>2022</v>
      </c>
      <c r="F351" s="8" t="s">
        <v>38</v>
      </c>
      <c r="G351" s="8" t="s">
        <v>49</v>
      </c>
      <c r="H351" s="9" t="n">
        <v>9635593.81</v>
      </c>
      <c r="I351" s="9" t="n">
        <v>6926544.11</v>
      </c>
      <c r="J351" s="9" t="n">
        <v>826832.79</v>
      </c>
      <c r="K351" s="9" t="n">
        <v>1882216.91</v>
      </c>
      <c r="L351" s="8" t="n">
        <v>49</v>
      </c>
      <c r="M351" s="8" t="n">
        <v>7819</v>
      </c>
      <c r="N351" s="10" t="n">
        <v>19.53</v>
      </c>
    </row>
    <row r="352" customFormat="false" ht="15" hidden="false" customHeight="false" outlineLevel="0" collapsed="false">
      <c r="A352" s="8" t="s">
        <v>98</v>
      </c>
      <c r="B352" s="8" t="s">
        <v>99</v>
      </c>
      <c r="C352" s="8" t="s">
        <v>95</v>
      </c>
      <c r="D352" s="8" t="s">
        <v>62</v>
      </c>
      <c r="E352" s="8" t="n">
        <v>2022</v>
      </c>
      <c r="F352" s="8" t="s">
        <v>40</v>
      </c>
      <c r="G352" s="8" t="s">
        <v>50</v>
      </c>
      <c r="H352" s="9" t="n">
        <v>9323994.19</v>
      </c>
      <c r="I352" s="9" t="n">
        <v>6901196.65</v>
      </c>
      <c r="J352" s="9" t="n">
        <v>705474.54</v>
      </c>
      <c r="K352" s="9" t="n">
        <v>1717323</v>
      </c>
      <c r="L352" s="8" t="n">
        <v>48</v>
      </c>
      <c r="M352" s="8" t="n">
        <v>9522</v>
      </c>
      <c r="N352" s="10" t="n">
        <v>18.42</v>
      </c>
    </row>
    <row r="353" customFormat="false" ht="15" hidden="false" customHeight="false" outlineLevel="0" collapsed="false">
      <c r="A353" s="8" t="s">
        <v>98</v>
      </c>
      <c r="B353" s="8" t="s">
        <v>99</v>
      </c>
      <c r="C353" s="8" t="s">
        <v>95</v>
      </c>
      <c r="D353" s="8" t="s">
        <v>62</v>
      </c>
      <c r="E353" s="8" t="n">
        <v>2022</v>
      </c>
      <c r="F353" s="8" t="s">
        <v>42</v>
      </c>
      <c r="G353" s="8" t="s">
        <v>51</v>
      </c>
      <c r="H353" s="9" t="n">
        <v>8991129.75</v>
      </c>
      <c r="I353" s="9" t="n">
        <v>6742387.51</v>
      </c>
      <c r="J353" s="9" t="n">
        <v>611939.75</v>
      </c>
      <c r="K353" s="9" t="n">
        <v>1636802.49</v>
      </c>
      <c r="L353" s="8" t="n">
        <v>45</v>
      </c>
      <c r="M353" s="8" t="n">
        <v>6180</v>
      </c>
      <c r="N353" s="10" t="n">
        <v>18.2</v>
      </c>
    </row>
    <row r="354" customFormat="false" ht="15" hidden="false" customHeight="false" outlineLevel="0" collapsed="false">
      <c r="A354" s="8" t="s">
        <v>98</v>
      </c>
      <c r="B354" s="8" t="s">
        <v>99</v>
      </c>
      <c r="C354" s="8" t="s">
        <v>95</v>
      </c>
      <c r="D354" s="8" t="s">
        <v>62</v>
      </c>
      <c r="E354" s="8" t="n">
        <v>2023</v>
      </c>
      <c r="F354" s="8" t="s">
        <v>36</v>
      </c>
      <c r="G354" s="8" t="s">
        <v>52</v>
      </c>
      <c r="H354" s="9" t="n">
        <v>8863497.04</v>
      </c>
      <c r="I354" s="9" t="n">
        <v>6241285.71</v>
      </c>
      <c r="J354" s="9" t="n">
        <v>603297.9</v>
      </c>
      <c r="K354" s="9" t="n">
        <v>2018913.43</v>
      </c>
      <c r="L354" s="8" t="n">
        <v>43</v>
      </c>
      <c r="M354" s="8" t="n">
        <v>5882</v>
      </c>
      <c r="N354" s="10" t="n">
        <v>22.78</v>
      </c>
    </row>
    <row r="355" customFormat="false" ht="15" hidden="false" customHeight="false" outlineLevel="0" collapsed="false">
      <c r="A355" s="8" t="s">
        <v>98</v>
      </c>
      <c r="B355" s="8" t="s">
        <v>99</v>
      </c>
      <c r="C355" s="8" t="s">
        <v>95</v>
      </c>
      <c r="D355" s="8" t="s">
        <v>62</v>
      </c>
      <c r="E355" s="8" t="n">
        <v>2023</v>
      </c>
      <c r="F355" s="8" t="s">
        <v>38</v>
      </c>
      <c r="G355" s="8" t="s">
        <v>53</v>
      </c>
      <c r="H355" s="9" t="n">
        <v>9453450.32</v>
      </c>
      <c r="I355" s="9" t="n">
        <v>6442249.37</v>
      </c>
      <c r="J355" s="9" t="n">
        <v>403848.03</v>
      </c>
      <c r="K355" s="9" t="n">
        <v>2607352.92</v>
      </c>
      <c r="L355" s="8" t="n">
        <v>44</v>
      </c>
      <c r="M355" s="8" t="n">
        <v>8102</v>
      </c>
      <c r="N355" s="10" t="n">
        <v>27.58</v>
      </c>
    </row>
    <row r="356" customFormat="false" ht="15" hidden="false" customHeight="false" outlineLevel="0" collapsed="false">
      <c r="A356" s="8" t="s">
        <v>98</v>
      </c>
      <c r="B356" s="8" t="s">
        <v>99</v>
      </c>
      <c r="C356" s="8" t="s">
        <v>95</v>
      </c>
      <c r="D356" s="8" t="s">
        <v>62</v>
      </c>
      <c r="E356" s="8" t="n">
        <v>2023</v>
      </c>
      <c r="F356" s="8" t="s">
        <v>40</v>
      </c>
      <c r="G356" s="8" t="s">
        <v>54</v>
      </c>
      <c r="H356" s="9" t="n">
        <v>9738646.98</v>
      </c>
      <c r="I356" s="9" t="n">
        <v>6791920.45</v>
      </c>
      <c r="J356" s="9" t="n">
        <v>365622.47</v>
      </c>
      <c r="K356" s="9" t="n">
        <v>2581104.06</v>
      </c>
      <c r="L356" s="8" t="n">
        <v>45</v>
      </c>
      <c r="M356" s="8" t="n">
        <v>5457</v>
      </c>
      <c r="N356" s="10" t="n">
        <v>26.5</v>
      </c>
    </row>
    <row r="357" customFormat="false" ht="15" hidden="false" customHeight="false" outlineLevel="0" collapsed="false">
      <c r="A357" s="8" t="s">
        <v>98</v>
      </c>
      <c r="B357" s="8" t="s">
        <v>99</v>
      </c>
      <c r="C357" s="8" t="s">
        <v>95</v>
      </c>
      <c r="D357" s="8" t="s">
        <v>62</v>
      </c>
      <c r="E357" s="8" t="n">
        <v>2023</v>
      </c>
      <c r="F357" s="8" t="s">
        <v>42</v>
      </c>
      <c r="G357" s="8" t="s">
        <v>55</v>
      </c>
      <c r="H357" s="9" t="n">
        <v>9567017.66</v>
      </c>
      <c r="I357" s="9" t="n">
        <v>5965582.72</v>
      </c>
      <c r="J357" s="9" t="n">
        <v>451989.69</v>
      </c>
      <c r="K357" s="9" t="n">
        <v>3149445.25</v>
      </c>
      <c r="L357" s="8" t="n">
        <v>47</v>
      </c>
      <c r="M357" s="8" t="n">
        <v>4308</v>
      </c>
      <c r="N357" s="10" t="n">
        <v>32.92</v>
      </c>
    </row>
    <row r="358" customFormat="false" ht="15" hidden="false" customHeight="false" outlineLevel="0" collapsed="false">
      <c r="A358" s="8" t="s">
        <v>98</v>
      </c>
      <c r="B358" s="8" t="s">
        <v>99</v>
      </c>
      <c r="C358" s="8" t="s">
        <v>95</v>
      </c>
      <c r="D358" s="8" t="s">
        <v>62</v>
      </c>
      <c r="E358" s="8" t="n">
        <v>2024</v>
      </c>
      <c r="F358" s="8" t="s">
        <v>36</v>
      </c>
      <c r="G358" s="8" t="s">
        <v>56</v>
      </c>
      <c r="H358" s="9" t="n">
        <v>9654920.79</v>
      </c>
      <c r="I358" s="9" t="n">
        <v>6680013.71</v>
      </c>
      <c r="J358" s="9" t="n">
        <v>775250.76</v>
      </c>
      <c r="K358" s="9" t="n">
        <v>2199656.32</v>
      </c>
      <c r="L358" s="8" t="n">
        <v>47</v>
      </c>
      <c r="M358" s="8" t="n">
        <v>4125</v>
      </c>
      <c r="N358" s="10" t="n">
        <v>22.78</v>
      </c>
    </row>
    <row r="359" customFormat="false" ht="15" hidden="false" customHeight="false" outlineLevel="0" collapsed="false">
      <c r="A359" s="8" t="s">
        <v>98</v>
      </c>
      <c r="B359" s="8" t="s">
        <v>99</v>
      </c>
      <c r="C359" s="8" t="s">
        <v>95</v>
      </c>
      <c r="D359" s="8" t="s">
        <v>62</v>
      </c>
      <c r="E359" s="8" t="n">
        <v>2024</v>
      </c>
      <c r="F359" s="8" t="s">
        <v>38</v>
      </c>
      <c r="G359" s="8" t="s">
        <v>57</v>
      </c>
      <c r="H359" s="9" t="n">
        <v>10946108.72</v>
      </c>
      <c r="I359" s="9" t="n">
        <v>7036367.01</v>
      </c>
      <c r="J359" s="9" t="n">
        <v>334900.9</v>
      </c>
      <c r="K359" s="9" t="n">
        <v>3574840.81</v>
      </c>
      <c r="L359" s="8" t="n">
        <v>47</v>
      </c>
      <c r="M359" s="8" t="n">
        <v>5608</v>
      </c>
      <c r="N359" s="10" t="n">
        <v>32.66</v>
      </c>
    </row>
    <row r="360" customFormat="false" ht="15" hidden="false" customHeight="false" outlineLevel="0" collapsed="false">
      <c r="A360" s="8" t="s">
        <v>98</v>
      </c>
      <c r="B360" s="8" t="s">
        <v>99</v>
      </c>
      <c r="C360" s="8" t="s">
        <v>95</v>
      </c>
      <c r="D360" s="8" t="s">
        <v>62</v>
      </c>
      <c r="E360" s="8" t="n">
        <v>2024</v>
      </c>
      <c r="F360" s="8" t="s">
        <v>40</v>
      </c>
      <c r="G360" s="8" t="s">
        <v>58</v>
      </c>
      <c r="H360" s="9" t="n">
        <v>8796370.52</v>
      </c>
      <c r="I360" s="9" t="n">
        <v>5069380.46</v>
      </c>
      <c r="J360" s="9" t="n">
        <v>379900.47</v>
      </c>
      <c r="K360" s="9" t="n">
        <v>3347089.59</v>
      </c>
      <c r="L360" s="8" t="n">
        <v>50</v>
      </c>
      <c r="M360" s="8" t="n">
        <v>9459</v>
      </c>
      <c r="N360" s="10" t="n">
        <v>38.05</v>
      </c>
    </row>
    <row r="361" customFormat="false" ht="15" hidden="false" customHeight="false" outlineLevel="0" collapsed="false">
      <c r="A361" s="8" t="s">
        <v>98</v>
      </c>
      <c r="B361" s="8" t="s">
        <v>99</v>
      </c>
      <c r="C361" s="8" t="s">
        <v>95</v>
      </c>
      <c r="D361" s="8" t="s">
        <v>62</v>
      </c>
      <c r="E361" s="8" t="n">
        <v>2024</v>
      </c>
      <c r="F361" s="8" t="s">
        <v>42</v>
      </c>
      <c r="G361" s="8" t="s">
        <v>59</v>
      </c>
      <c r="H361" s="9" t="n">
        <v>9374620.33</v>
      </c>
      <c r="I361" s="9" t="n">
        <v>5381420.61</v>
      </c>
      <c r="J361" s="9" t="n">
        <v>735245.21</v>
      </c>
      <c r="K361" s="9" t="n">
        <v>3257954.51</v>
      </c>
      <c r="L361" s="8" t="n">
        <v>50</v>
      </c>
      <c r="M361" s="8" t="n">
        <v>5578</v>
      </c>
      <c r="N361" s="10" t="n">
        <v>34.75</v>
      </c>
    </row>
    <row r="362" customFormat="false" ht="15" hidden="false" customHeight="false" outlineLevel="0" collapsed="false">
      <c r="A362" s="8" t="s">
        <v>100</v>
      </c>
      <c r="B362" s="8" t="s">
        <v>101</v>
      </c>
      <c r="C362" s="8" t="s">
        <v>95</v>
      </c>
      <c r="D362" s="8" t="s">
        <v>102</v>
      </c>
      <c r="E362" s="8" t="n">
        <v>2020</v>
      </c>
      <c r="F362" s="8" t="s">
        <v>36</v>
      </c>
      <c r="G362" s="8" t="s">
        <v>37</v>
      </c>
      <c r="H362" s="9" t="n">
        <v>9182840.76</v>
      </c>
      <c r="I362" s="9" t="n">
        <v>6665374.36</v>
      </c>
      <c r="J362" s="9" t="n">
        <v>577627.52</v>
      </c>
      <c r="K362" s="9" t="n">
        <v>1939838.88</v>
      </c>
      <c r="L362" s="8" t="n">
        <v>301</v>
      </c>
      <c r="M362" s="8" t="n">
        <v>4154</v>
      </c>
      <c r="N362" s="10" t="n">
        <v>21.12</v>
      </c>
    </row>
    <row r="363" customFormat="false" ht="15" hidden="false" customHeight="false" outlineLevel="0" collapsed="false">
      <c r="A363" s="8" t="s">
        <v>100</v>
      </c>
      <c r="B363" s="8" t="s">
        <v>101</v>
      </c>
      <c r="C363" s="8" t="s">
        <v>95</v>
      </c>
      <c r="D363" s="8" t="s">
        <v>102</v>
      </c>
      <c r="E363" s="8" t="n">
        <v>2020</v>
      </c>
      <c r="F363" s="8" t="s">
        <v>38</v>
      </c>
      <c r="G363" s="8" t="s">
        <v>39</v>
      </c>
      <c r="H363" s="9" t="n">
        <v>9994949.71</v>
      </c>
      <c r="I363" s="9" t="n">
        <v>6412751.26</v>
      </c>
      <c r="J363" s="9" t="n">
        <v>767837.7</v>
      </c>
      <c r="K363" s="9" t="n">
        <v>2814360.75</v>
      </c>
      <c r="L363" s="8" t="n">
        <v>298</v>
      </c>
      <c r="M363" s="8" t="n">
        <v>10963</v>
      </c>
      <c r="N363" s="10" t="n">
        <v>28.16</v>
      </c>
    </row>
    <row r="364" customFormat="false" ht="15" hidden="false" customHeight="false" outlineLevel="0" collapsed="false">
      <c r="A364" s="8" t="s">
        <v>100</v>
      </c>
      <c r="B364" s="8" t="s">
        <v>101</v>
      </c>
      <c r="C364" s="8" t="s">
        <v>95</v>
      </c>
      <c r="D364" s="8" t="s">
        <v>102</v>
      </c>
      <c r="E364" s="8" t="n">
        <v>2020</v>
      </c>
      <c r="F364" s="8" t="s">
        <v>40</v>
      </c>
      <c r="G364" s="8" t="s">
        <v>41</v>
      </c>
      <c r="H364" s="9" t="n">
        <v>8540689.5</v>
      </c>
      <c r="I364" s="9" t="n">
        <v>4799383.23</v>
      </c>
      <c r="J364" s="9" t="n">
        <v>498810.88</v>
      </c>
      <c r="K364" s="9" t="n">
        <v>3242495.39</v>
      </c>
      <c r="L364" s="8" t="n">
        <v>301</v>
      </c>
      <c r="M364" s="8" t="n">
        <v>3439</v>
      </c>
      <c r="N364" s="10" t="n">
        <v>37.97</v>
      </c>
    </row>
    <row r="365" customFormat="false" ht="15" hidden="false" customHeight="false" outlineLevel="0" collapsed="false">
      <c r="A365" s="8" t="s">
        <v>100</v>
      </c>
      <c r="B365" s="8" t="s">
        <v>101</v>
      </c>
      <c r="C365" s="8" t="s">
        <v>95</v>
      </c>
      <c r="D365" s="8" t="s">
        <v>102</v>
      </c>
      <c r="E365" s="8" t="n">
        <v>2020</v>
      </c>
      <c r="F365" s="8" t="s">
        <v>42</v>
      </c>
      <c r="G365" s="8" t="s">
        <v>43</v>
      </c>
      <c r="H365" s="9" t="n">
        <v>8532631.25</v>
      </c>
      <c r="I365" s="9" t="n">
        <v>6384674.28</v>
      </c>
      <c r="J365" s="9" t="n">
        <v>657962.91</v>
      </c>
      <c r="K365" s="9" t="n">
        <v>1489994.06</v>
      </c>
      <c r="L365" s="8" t="n">
        <v>298</v>
      </c>
      <c r="M365" s="8" t="n">
        <v>9189</v>
      </c>
      <c r="N365" s="10" t="n">
        <v>17.46</v>
      </c>
    </row>
    <row r="366" customFormat="false" ht="15" hidden="false" customHeight="false" outlineLevel="0" collapsed="false">
      <c r="A366" s="8" t="s">
        <v>100</v>
      </c>
      <c r="B366" s="8" t="s">
        <v>101</v>
      </c>
      <c r="C366" s="8" t="s">
        <v>95</v>
      </c>
      <c r="D366" s="8" t="s">
        <v>102</v>
      </c>
      <c r="E366" s="8" t="n">
        <v>2021</v>
      </c>
      <c r="F366" s="8" t="s">
        <v>36</v>
      </c>
      <c r="G366" s="8" t="s">
        <v>44</v>
      </c>
      <c r="H366" s="9" t="n">
        <v>8845646.37</v>
      </c>
      <c r="I366" s="9" t="n">
        <v>6450378.22</v>
      </c>
      <c r="J366" s="9" t="n">
        <v>594286.56</v>
      </c>
      <c r="K366" s="9" t="n">
        <v>1800981.59</v>
      </c>
      <c r="L366" s="8" t="n">
        <v>299</v>
      </c>
      <c r="M366" s="8" t="n">
        <v>6967</v>
      </c>
      <c r="N366" s="10" t="n">
        <v>20.36</v>
      </c>
    </row>
    <row r="367" customFormat="false" ht="15" hidden="false" customHeight="false" outlineLevel="0" collapsed="false">
      <c r="A367" s="8" t="s">
        <v>100</v>
      </c>
      <c r="B367" s="8" t="s">
        <v>101</v>
      </c>
      <c r="C367" s="8" t="s">
        <v>95</v>
      </c>
      <c r="D367" s="8" t="s">
        <v>102</v>
      </c>
      <c r="E367" s="8" t="n">
        <v>2021</v>
      </c>
      <c r="F367" s="8" t="s">
        <v>38</v>
      </c>
      <c r="G367" s="8" t="s">
        <v>45</v>
      </c>
      <c r="H367" s="9" t="n">
        <v>9695048.74</v>
      </c>
      <c r="I367" s="9" t="n">
        <v>6565399.18</v>
      </c>
      <c r="J367" s="9" t="n">
        <v>762684.53</v>
      </c>
      <c r="K367" s="9" t="n">
        <v>2366965.03</v>
      </c>
      <c r="L367" s="8" t="n">
        <v>296</v>
      </c>
      <c r="M367" s="8" t="n">
        <v>7807</v>
      </c>
      <c r="N367" s="10" t="n">
        <v>24.41</v>
      </c>
    </row>
    <row r="368" customFormat="false" ht="15" hidden="false" customHeight="false" outlineLevel="0" collapsed="false">
      <c r="A368" s="8" t="s">
        <v>100</v>
      </c>
      <c r="B368" s="8" t="s">
        <v>101</v>
      </c>
      <c r="C368" s="8" t="s">
        <v>95</v>
      </c>
      <c r="D368" s="8" t="s">
        <v>102</v>
      </c>
      <c r="E368" s="8" t="n">
        <v>2021</v>
      </c>
      <c r="F368" s="8" t="s">
        <v>40</v>
      </c>
      <c r="G368" s="8" t="s">
        <v>46</v>
      </c>
      <c r="H368" s="9" t="n">
        <v>8582401.32</v>
      </c>
      <c r="I368" s="9" t="n">
        <v>5645182.62</v>
      </c>
      <c r="J368" s="9" t="n">
        <v>630796.8</v>
      </c>
      <c r="K368" s="9" t="n">
        <v>2306421.9</v>
      </c>
      <c r="L368" s="8" t="n">
        <v>294</v>
      </c>
      <c r="M368" s="8" t="n">
        <v>4349</v>
      </c>
      <c r="N368" s="10" t="n">
        <v>26.87</v>
      </c>
    </row>
    <row r="369" customFormat="false" ht="15" hidden="false" customHeight="false" outlineLevel="0" collapsed="false">
      <c r="A369" s="8" t="s">
        <v>100</v>
      </c>
      <c r="B369" s="8" t="s">
        <v>101</v>
      </c>
      <c r="C369" s="8" t="s">
        <v>95</v>
      </c>
      <c r="D369" s="8" t="s">
        <v>102</v>
      </c>
      <c r="E369" s="8" t="n">
        <v>2021</v>
      </c>
      <c r="F369" s="8" t="s">
        <v>42</v>
      </c>
      <c r="G369" s="8" t="s">
        <v>47</v>
      </c>
      <c r="H369" s="9" t="n">
        <v>7842668.58</v>
      </c>
      <c r="I369" s="9" t="n">
        <v>5303089.82</v>
      </c>
      <c r="J369" s="9" t="n">
        <v>238970</v>
      </c>
      <c r="K369" s="9" t="n">
        <v>2300608.76</v>
      </c>
      <c r="L369" s="8" t="n">
        <v>293</v>
      </c>
      <c r="M369" s="8" t="n">
        <v>3229</v>
      </c>
      <c r="N369" s="10" t="n">
        <v>29.33</v>
      </c>
    </row>
    <row r="370" customFormat="false" ht="15" hidden="false" customHeight="false" outlineLevel="0" collapsed="false">
      <c r="A370" s="8" t="s">
        <v>100</v>
      </c>
      <c r="B370" s="8" t="s">
        <v>101</v>
      </c>
      <c r="C370" s="8" t="s">
        <v>95</v>
      </c>
      <c r="D370" s="8" t="s">
        <v>102</v>
      </c>
      <c r="E370" s="8" t="n">
        <v>2022</v>
      </c>
      <c r="F370" s="8" t="s">
        <v>36</v>
      </c>
      <c r="G370" s="8" t="s">
        <v>48</v>
      </c>
      <c r="H370" s="9" t="n">
        <v>8429314.89</v>
      </c>
      <c r="I370" s="9" t="n">
        <v>6258446.33</v>
      </c>
      <c r="J370" s="9" t="n">
        <v>732880.64</v>
      </c>
      <c r="K370" s="9" t="n">
        <v>1437987.92</v>
      </c>
      <c r="L370" s="8" t="n">
        <v>295</v>
      </c>
      <c r="M370" s="8" t="n">
        <v>4026</v>
      </c>
      <c r="N370" s="10" t="n">
        <v>17.06</v>
      </c>
    </row>
    <row r="371" customFormat="false" ht="15" hidden="false" customHeight="false" outlineLevel="0" collapsed="false">
      <c r="A371" s="8" t="s">
        <v>100</v>
      </c>
      <c r="B371" s="8" t="s">
        <v>101</v>
      </c>
      <c r="C371" s="8" t="s">
        <v>95</v>
      </c>
      <c r="D371" s="8" t="s">
        <v>102</v>
      </c>
      <c r="E371" s="8" t="n">
        <v>2022</v>
      </c>
      <c r="F371" s="8" t="s">
        <v>38</v>
      </c>
      <c r="G371" s="8" t="s">
        <v>49</v>
      </c>
      <c r="H371" s="9" t="n">
        <v>9568028.32</v>
      </c>
      <c r="I371" s="9" t="n">
        <v>6090654.73</v>
      </c>
      <c r="J371" s="9" t="n">
        <v>600820.78</v>
      </c>
      <c r="K371" s="9" t="n">
        <v>2876552.81</v>
      </c>
      <c r="L371" s="8" t="n">
        <v>292</v>
      </c>
      <c r="M371" s="8" t="n">
        <v>10811</v>
      </c>
      <c r="N371" s="10" t="n">
        <v>30.06</v>
      </c>
    </row>
    <row r="372" customFormat="false" ht="15" hidden="false" customHeight="false" outlineLevel="0" collapsed="false">
      <c r="A372" s="8" t="s">
        <v>100</v>
      </c>
      <c r="B372" s="8" t="s">
        <v>101</v>
      </c>
      <c r="C372" s="8" t="s">
        <v>95</v>
      </c>
      <c r="D372" s="8" t="s">
        <v>102</v>
      </c>
      <c r="E372" s="8" t="n">
        <v>2022</v>
      </c>
      <c r="F372" s="8" t="s">
        <v>40</v>
      </c>
      <c r="G372" s="8" t="s">
        <v>50</v>
      </c>
      <c r="H372" s="9" t="n">
        <v>7774208.6</v>
      </c>
      <c r="I372" s="9" t="n">
        <v>4445126.6</v>
      </c>
      <c r="J372" s="9" t="n">
        <v>540671.53</v>
      </c>
      <c r="K372" s="9" t="n">
        <v>2788410.47</v>
      </c>
      <c r="L372" s="8" t="n">
        <v>291</v>
      </c>
      <c r="M372" s="8" t="n">
        <v>5212</v>
      </c>
      <c r="N372" s="10" t="n">
        <v>35.87</v>
      </c>
    </row>
    <row r="373" customFormat="false" ht="15" hidden="false" customHeight="false" outlineLevel="0" collapsed="false">
      <c r="A373" s="8" t="s">
        <v>100</v>
      </c>
      <c r="B373" s="8" t="s">
        <v>101</v>
      </c>
      <c r="C373" s="8" t="s">
        <v>95</v>
      </c>
      <c r="D373" s="8" t="s">
        <v>102</v>
      </c>
      <c r="E373" s="8" t="n">
        <v>2022</v>
      </c>
      <c r="F373" s="8" t="s">
        <v>42</v>
      </c>
      <c r="G373" s="8" t="s">
        <v>51</v>
      </c>
      <c r="H373" s="9" t="n">
        <v>9086153.22</v>
      </c>
      <c r="I373" s="9" t="n">
        <v>6032369.41</v>
      </c>
      <c r="J373" s="9" t="n">
        <v>807473.93</v>
      </c>
      <c r="K373" s="9" t="n">
        <v>2246309.88</v>
      </c>
      <c r="L373" s="8" t="n">
        <v>294</v>
      </c>
      <c r="M373" s="8" t="n">
        <v>5022</v>
      </c>
      <c r="N373" s="10" t="n">
        <v>24.72</v>
      </c>
    </row>
    <row r="374" customFormat="false" ht="15" hidden="false" customHeight="false" outlineLevel="0" collapsed="false">
      <c r="A374" s="8" t="s">
        <v>100</v>
      </c>
      <c r="B374" s="8" t="s">
        <v>101</v>
      </c>
      <c r="C374" s="8" t="s">
        <v>95</v>
      </c>
      <c r="D374" s="8" t="s">
        <v>102</v>
      </c>
      <c r="E374" s="8" t="n">
        <v>2023</v>
      </c>
      <c r="F374" s="8" t="s">
        <v>36</v>
      </c>
      <c r="G374" s="8" t="s">
        <v>52</v>
      </c>
      <c r="H374" s="9" t="n">
        <v>8544155.42</v>
      </c>
      <c r="I374" s="9" t="n">
        <v>5374625.65</v>
      </c>
      <c r="J374" s="9" t="n">
        <v>614313.41</v>
      </c>
      <c r="K374" s="9" t="n">
        <v>2555216.36</v>
      </c>
      <c r="L374" s="8" t="n">
        <v>294</v>
      </c>
      <c r="M374" s="8" t="n">
        <v>4041</v>
      </c>
      <c r="N374" s="10" t="n">
        <v>29.91</v>
      </c>
    </row>
    <row r="375" customFormat="false" ht="15" hidden="false" customHeight="false" outlineLevel="0" collapsed="false">
      <c r="A375" s="8" t="s">
        <v>100</v>
      </c>
      <c r="B375" s="8" t="s">
        <v>101</v>
      </c>
      <c r="C375" s="8" t="s">
        <v>95</v>
      </c>
      <c r="D375" s="8" t="s">
        <v>102</v>
      </c>
      <c r="E375" s="8" t="n">
        <v>2023</v>
      </c>
      <c r="F375" s="8" t="s">
        <v>38</v>
      </c>
      <c r="G375" s="8" t="s">
        <v>53</v>
      </c>
      <c r="H375" s="9" t="n">
        <v>9517863.77</v>
      </c>
      <c r="I375" s="9" t="n">
        <v>6454282.68</v>
      </c>
      <c r="J375" s="9" t="n">
        <v>426785</v>
      </c>
      <c r="K375" s="9" t="n">
        <v>2636796.09</v>
      </c>
      <c r="L375" s="8" t="n">
        <v>296</v>
      </c>
      <c r="M375" s="8" t="n">
        <v>5405</v>
      </c>
      <c r="N375" s="10" t="n">
        <v>27.7</v>
      </c>
    </row>
    <row r="376" customFormat="false" ht="15" hidden="false" customHeight="false" outlineLevel="0" collapsed="false">
      <c r="A376" s="8" t="s">
        <v>100</v>
      </c>
      <c r="B376" s="8" t="s">
        <v>101</v>
      </c>
      <c r="C376" s="8" t="s">
        <v>95</v>
      </c>
      <c r="D376" s="8" t="s">
        <v>102</v>
      </c>
      <c r="E376" s="8" t="n">
        <v>2023</v>
      </c>
      <c r="F376" s="8" t="s">
        <v>40</v>
      </c>
      <c r="G376" s="8" t="s">
        <v>54</v>
      </c>
      <c r="H376" s="9" t="n">
        <v>9137605.66</v>
      </c>
      <c r="I376" s="9" t="n">
        <v>6459228.81</v>
      </c>
      <c r="J376" s="9" t="n">
        <v>732145.81</v>
      </c>
      <c r="K376" s="9" t="n">
        <v>1946231.04</v>
      </c>
      <c r="L376" s="8" t="n">
        <v>297</v>
      </c>
      <c r="M376" s="8" t="n">
        <v>4214</v>
      </c>
      <c r="N376" s="10" t="n">
        <v>21.3</v>
      </c>
    </row>
    <row r="377" customFormat="false" ht="15" hidden="false" customHeight="false" outlineLevel="0" collapsed="false">
      <c r="A377" s="8" t="s">
        <v>100</v>
      </c>
      <c r="B377" s="8" t="s">
        <v>101</v>
      </c>
      <c r="C377" s="8" t="s">
        <v>95</v>
      </c>
      <c r="D377" s="8" t="s">
        <v>102</v>
      </c>
      <c r="E377" s="8" t="n">
        <v>2023</v>
      </c>
      <c r="F377" s="8" t="s">
        <v>42</v>
      </c>
      <c r="G377" s="8" t="s">
        <v>55</v>
      </c>
      <c r="H377" s="9" t="n">
        <v>7440637.62</v>
      </c>
      <c r="I377" s="9" t="n">
        <v>4571036.65</v>
      </c>
      <c r="J377" s="9" t="n">
        <v>322362.29</v>
      </c>
      <c r="K377" s="9" t="n">
        <v>2547238.68</v>
      </c>
      <c r="L377" s="8" t="n">
        <v>298</v>
      </c>
      <c r="M377" s="8" t="n">
        <v>7733</v>
      </c>
      <c r="N377" s="10" t="n">
        <v>34.23</v>
      </c>
    </row>
    <row r="378" customFormat="false" ht="15" hidden="false" customHeight="false" outlineLevel="0" collapsed="false">
      <c r="A378" s="8" t="s">
        <v>100</v>
      </c>
      <c r="B378" s="8" t="s">
        <v>101</v>
      </c>
      <c r="C378" s="8" t="s">
        <v>95</v>
      </c>
      <c r="D378" s="8" t="s">
        <v>102</v>
      </c>
      <c r="E378" s="8" t="n">
        <v>2024</v>
      </c>
      <c r="F378" s="8" t="s">
        <v>36</v>
      </c>
      <c r="G378" s="8" t="s">
        <v>56</v>
      </c>
      <c r="H378" s="9" t="n">
        <v>8836837.34</v>
      </c>
      <c r="I378" s="9" t="n">
        <v>4861043.09</v>
      </c>
      <c r="J378" s="9" t="n">
        <v>739453.89</v>
      </c>
      <c r="K378" s="9" t="n">
        <v>3236340.36</v>
      </c>
      <c r="L378" s="8" t="n">
        <v>297</v>
      </c>
      <c r="M378" s="8" t="n">
        <v>5459</v>
      </c>
      <c r="N378" s="10" t="n">
        <v>36.62</v>
      </c>
    </row>
    <row r="379" customFormat="false" ht="15" hidden="false" customHeight="false" outlineLevel="0" collapsed="false">
      <c r="A379" s="8" t="s">
        <v>100</v>
      </c>
      <c r="B379" s="8" t="s">
        <v>101</v>
      </c>
      <c r="C379" s="8" t="s">
        <v>95</v>
      </c>
      <c r="D379" s="8" t="s">
        <v>102</v>
      </c>
      <c r="E379" s="8" t="n">
        <v>2024</v>
      </c>
      <c r="F379" s="8" t="s">
        <v>38</v>
      </c>
      <c r="G379" s="8" t="s">
        <v>57</v>
      </c>
      <c r="H379" s="9" t="n">
        <v>9144492.37</v>
      </c>
      <c r="I379" s="9" t="n">
        <v>6408944.86</v>
      </c>
      <c r="J379" s="9" t="n">
        <v>489664.62</v>
      </c>
      <c r="K379" s="9" t="n">
        <v>2245882.89</v>
      </c>
      <c r="L379" s="8" t="n">
        <v>297</v>
      </c>
      <c r="M379" s="8" t="n">
        <v>4275</v>
      </c>
      <c r="N379" s="10" t="n">
        <v>24.56</v>
      </c>
    </row>
    <row r="380" customFormat="false" ht="15" hidden="false" customHeight="false" outlineLevel="0" collapsed="false">
      <c r="A380" s="8" t="s">
        <v>100</v>
      </c>
      <c r="B380" s="8" t="s">
        <v>101</v>
      </c>
      <c r="C380" s="8" t="s">
        <v>95</v>
      </c>
      <c r="D380" s="8" t="s">
        <v>102</v>
      </c>
      <c r="E380" s="8" t="n">
        <v>2024</v>
      </c>
      <c r="F380" s="8" t="s">
        <v>40</v>
      </c>
      <c r="G380" s="8" t="s">
        <v>58</v>
      </c>
      <c r="H380" s="9" t="n">
        <v>9752643.02</v>
      </c>
      <c r="I380" s="9" t="n">
        <v>7016581.28</v>
      </c>
      <c r="J380" s="9" t="n">
        <v>535773.48</v>
      </c>
      <c r="K380" s="9" t="n">
        <v>2200288.26</v>
      </c>
      <c r="L380" s="8" t="n">
        <v>294</v>
      </c>
      <c r="M380" s="8" t="n">
        <v>8203</v>
      </c>
      <c r="N380" s="10" t="n">
        <v>22.56</v>
      </c>
    </row>
    <row r="381" customFormat="false" ht="15" hidden="false" customHeight="false" outlineLevel="0" collapsed="false">
      <c r="A381" s="8" t="s">
        <v>100</v>
      </c>
      <c r="B381" s="8" t="s">
        <v>101</v>
      </c>
      <c r="C381" s="8" t="s">
        <v>95</v>
      </c>
      <c r="D381" s="8" t="s">
        <v>102</v>
      </c>
      <c r="E381" s="8" t="n">
        <v>2024</v>
      </c>
      <c r="F381" s="8" t="s">
        <v>42</v>
      </c>
      <c r="G381" s="8" t="s">
        <v>59</v>
      </c>
      <c r="H381" s="9" t="n">
        <v>8768072.52</v>
      </c>
      <c r="I381" s="9" t="n">
        <v>6342420.95</v>
      </c>
      <c r="J381" s="9" t="n">
        <v>355223.61</v>
      </c>
      <c r="K381" s="9" t="n">
        <v>2070427.96</v>
      </c>
      <c r="L381" s="8" t="n">
        <v>293</v>
      </c>
      <c r="M381" s="8" t="n">
        <v>4908</v>
      </c>
      <c r="N381" s="10" t="n">
        <v>23.61</v>
      </c>
    </row>
    <row r="382" customFormat="false" ht="15" hidden="false" customHeight="false" outlineLevel="0" collapsed="false">
      <c r="A382" s="8" t="s">
        <v>103</v>
      </c>
      <c r="B382" s="8" t="s">
        <v>104</v>
      </c>
      <c r="C382" s="8" t="s">
        <v>95</v>
      </c>
      <c r="D382" s="8" t="s">
        <v>35</v>
      </c>
      <c r="E382" s="8" t="n">
        <v>2020</v>
      </c>
      <c r="F382" s="8" t="s">
        <v>36</v>
      </c>
      <c r="G382" s="8" t="s">
        <v>37</v>
      </c>
      <c r="H382" s="9" t="n">
        <v>6419591.8</v>
      </c>
      <c r="I382" s="9" t="n">
        <v>4616777.26</v>
      </c>
      <c r="J382" s="9" t="n">
        <v>540693.04</v>
      </c>
      <c r="K382" s="9" t="n">
        <v>1262121.5</v>
      </c>
      <c r="L382" s="8" t="n">
        <v>424</v>
      </c>
      <c r="M382" s="8" t="n">
        <v>2918</v>
      </c>
      <c r="N382" s="10" t="n">
        <v>19.66</v>
      </c>
    </row>
    <row r="383" customFormat="false" ht="15" hidden="false" customHeight="false" outlineLevel="0" collapsed="false">
      <c r="A383" s="8" t="s">
        <v>103</v>
      </c>
      <c r="B383" s="8" t="s">
        <v>104</v>
      </c>
      <c r="C383" s="8" t="s">
        <v>95</v>
      </c>
      <c r="D383" s="8" t="s">
        <v>35</v>
      </c>
      <c r="E383" s="8" t="n">
        <v>2020</v>
      </c>
      <c r="F383" s="8" t="s">
        <v>38</v>
      </c>
      <c r="G383" s="8" t="s">
        <v>39</v>
      </c>
      <c r="H383" s="9" t="n">
        <v>6856251.41</v>
      </c>
      <c r="I383" s="9" t="n">
        <v>4051605.93</v>
      </c>
      <c r="J383" s="9" t="n">
        <v>410363.04</v>
      </c>
      <c r="K383" s="9" t="n">
        <v>2394282.44</v>
      </c>
      <c r="L383" s="8" t="n">
        <v>427</v>
      </c>
      <c r="M383" s="8" t="n">
        <v>5027</v>
      </c>
      <c r="N383" s="10" t="n">
        <v>34.92</v>
      </c>
    </row>
    <row r="384" customFormat="false" ht="15" hidden="false" customHeight="false" outlineLevel="0" collapsed="false">
      <c r="A384" s="8" t="s">
        <v>103</v>
      </c>
      <c r="B384" s="8" t="s">
        <v>104</v>
      </c>
      <c r="C384" s="8" t="s">
        <v>95</v>
      </c>
      <c r="D384" s="8" t="s">
        <v>35</v>
      </c>
      <c r="E384" s="8" t="n">
        <v>2020</v>
      </c>
      <c r="F384" s="8" t="s">
        <v>40</v>
      </c>
      <c r="G384" s="8" t="s">
        <v>41</v>
      </c>
      <c r="H384" s="9" t="n">
        <v>6585599.82</v>
      </c>
      <c r="I384" s="9" t="n">
        <v>4010948.77</v>
      </c>
      <c r="J384" s="9" t="n">
        <v>341537.47</v>
      </c>
      <c r="K384" s="9" t="n">
        <v>2233113.58</v>
      </c>
      <c r="L384" s="8" t="n">
        <v>426</v>
      </c>
      <c r="M384" s="8" t="n">
        <v>6848</v>
      </c>
      <c r="N384" s="10" t="n">
        <v>33.91</v>
      </c>
    </row>
    <row r="385" customFormat="false" ht="15" hidden="false" customHeight="false" outlineLevel="0" collapsed="false">
      <c r="A385" s="8" t="s">
        <v>103</v>
      </c>
      <c r="B385" s="8" t="s">
        <v>104</v>
      </c>
      <c r="C385" s="8" t="s">
        <v>95</v>
      </c>
      <c r="D385" s="8" t="s">
        <v>35</v>
      </c>
      <c r="E385" s="8" t="n">
        <v>2020</v>
      </c>
      <c r="F385" s="8" t="s">
        <v>42</v>
      </c>
      <c r="G385" s="8" t="s">
        <v>43</v>
      </c>
      <c r="H385" s="9" t="n">
        <v>6374458.34</v>
      </c>
      <c r="I385" s="9" t="n">
        <v>3929459.67</v>
      </c>
      <c r="J385" s="9" t="n">
        <v>510910</v>
      </c>
      <c r="K385" s="9" t="n">
        <v>1934088.67</v>
      </c>
      <c r="L385" s="8" t="n">
        <v>425</v>
      </c>
      <c r="M385" s="8" t="n">
        <v>3332</v>
      </c>
      <c r="N385" s="10" t="n">
        <v>30.34</v>
      </c>
    </row>
    <row r="386" customFormat="false" ht="15" hidden="false" customHeight="false" outlineLevel="0" collapsed="false">
      <c r="A386" s="8" t="s">
        <v>103</v>
      </c>
      <c r="B386" s="8" t="s">
        <v>104</v>
      </c>
      <c r="C386" s="8" t="s">
        <v>95</v>
      </c>
      <c r="D386" s="8" t="s">
        <v>35</v>
      </c>
      <c r="E386" s="8" t="n">
        <v>2021</v>
      </c>
      <c r="F386" s="8" t="s">
        <v>36</v>
      </c>
      <c r="G386" s="8" t="s">
        <v>44</v>
      </c>
      <c r="H386" s="9" t="n">
        <v>5652792.27</v>
      </c>
      <c r="I386" s="9" t="n">
        <v>3436930.7</v>
      </c>
      <c r="J386" s="9" t="n">
        <v>184983.09</v>
      </c>
      <c r="K386" s="9" t="n">
        <v>2030878.48</v>
      </c>
      <c r="L386" s="8" t="n">
        <v>422</v>
      </c>
      <c r="M386" s="8" t="n">
        <v>3268</v>
      </c>
      <c r="N386" s="10" t="n">
        <v>35.93</v>
      </c>
    </row>
    <row r="387" customFormat="false" ht="15" hidden="false" customHeight="false" outlineLevel="0" collapsed="false">
      <c r="A387" s="8" t="s">
        <v>103</v>
      </c>
      <c r="B387" s="8" t="s">
        <v>104</v>
      </c>
      <c r="C387" s="8" t="s">
        <v>95</v>
      </c>
      <c r="D387" s="8" t="s">
        <v>35</v>
      </c>
      <c r="E387" s="8" t="n">
        <v>2021</v>
      </c>
      <c r="F387" s="8" t="s">
        <v>38</v>
      </c>
      <c r="G387" s="8" t="s">
        <v>45</v>
      </c>
      <c r="H387" s="9" t="n">
        <v>7425917.89</v>
      </c>
      <c r="I387" s="9" t="n">
        <v>4702931.57</v>
      </c>
      <c r="J387" s="9" t="n">
        <v>222782.72</v>
      </c>
      <c r="K387" s="9" t="n">
        <v>2500203.6</v>
      </c>
      <c r="L387" s="8" t="n">
        <v>425</v>
      </c>
      <c r="M387" s="8" t="n">
        <v>3025</v>
      </c>
      <c r="N387" s="10" t="n">
        <v>33.67</v>
      </c>
    </row>
    <row r="388" customFormat="false" ht="15" hidden="false" customHeight="false" outlineLevel="0" collapsed="false">
      <c r="A388" s="8" t="s">
        <v>103</v>
      </c>
      <c r="B388" s="8" t="s">
        <v>104</v>
      </c>
      <c r="C388" s="8" t="s">
        <v>95</v>
      </c>
      <c r="D388" s="8" t="s">
        <v>35</v>
      </c>
      <c r="E388" s="8" t="n">
        <v>2021</v>
      </c>
      <c r="F388" s="8" t="s">
        <v>40</v>
      </c>
      <c r="G388" s="8" t="s">
        <v>46</v>
      </c>
      <c r="H388" s="9" t="n">
        <v>7020176.54</v>
      </c>
      <c r="I388" s="9" t="n">
        <v>4129434.52</v>
      </c>
      <c r="J388" s="9" t="n">
        <v>232466.52</v>
      </c>
      <c r="K388" s="9" t="n">
        <v>2658275.5</v>
      </c>
      <c r="L388" s="8" t="n">
        <v>422</v>
      </c>
      <c r="M388" s="8" t="n">
        <v>3716</v>
      </c>
      <c r="N388" s="10" t="n">
        <v>37.87</v>
      </c>
    </row>
    <row r="389" customFormat="false" ht="15" hidden="false" customHeight="false" outlineLevel="0" collapsed="false">
      <c r="A389" s="8" t="s">
        <v>103</v>
      </c>
      <c r="B389" s="8" t="s">
        <v>104</v>
      </c>
      <c r="C389" s="8" t="s">
        <v>95</v>
      </c>
      <c r="D389" s="8" t="s">
        <v>35</v>
      </c>
      <c r="E389" s="8" t="n">
        <v>2021</v>
      </c>
      <c r="F389" s="8" t="s">
        <v>42</v>
      </c>
      <c r="G389" s="8" t="s">
        <v>47</v>
      </c>
      <c r="H389" s="9" t="n">
        <v>5902753.95</v>
      </c>
      <c r="I389" s="9" t="n">
        <v>3745449.91</v>
      </c>
      <c r="J389" s="9" t="n">
        <v>477565.39</v>
      </c>
      <c r="K389" s="9" t="n">
        <v>1679738.65</v>
      </c>
      <c r="L389" s="8" t="n">
        <v>421</v>
      </c>
      <c r="M389" s="8" t="n">
        <v>2934</v>
      </c>
      <c r="N389" s="10" t="n">
        <v>28.46</v>
      </c>
    </row>
    <row r="390" customFormat="false" ht="15" hidden="false" customHeight="false" outlineLevel="0" collapsed="false">
      <c r="A390" s="8" t="s">
        <v>103</v>
      </c>
      <c r="B390" s="8" t="s">
        <v>104</v>
      </c>
      <c r="C390" s="8" t="s">
        <v>95</v>
      </c>
      <c r="D390" s="8" t="s">
        <v>35</v>
      </c>
      <c r="E390" s="8" t="n">
        <v>2022</v>
      </c>
      <c r="F390" s="8" t="s">
        <v>36</v>
      </c>
      <c r="G390" s="8" t="s">
        <v>48</v>
      </c>
      <c r="H390" s="9" t="n">
        <v>6546278.87</v>
      </c>
      <c r="I390" s="9" t="n">
        <v>4909112.03</v>
      </c>
      <c r="J390" s="9" t="n">
        <v>328740.27</v>
      </c>
      <c r="K390" s="9" t="n">
        <v>1308426.57</v>
      </c>
      <c r="L390" s="8" t="n">
        <v>423</v>
      </c>
      <c r="M390" s="8" t="n">
        <v>3122</v>
      </c>
      <c r="N390" s="10" t="n">
        <v>19.99</v>
      </c>
    </row>
    <row r="391" customFormat="false" ht="15" hidden="false" customHeight="false" outlineLevel="0" collapsed="false">
      <c r="A391" s="8" t="s">
        <v>103</v>
      </c>
      <c r="B391" s="8" t="s">
        <v>104</v>
      </c>
      <c r="C391" s="8" t="s">
        <v>95</v>
      </c>
      <c r="D391" s="8" t="s">
        <v>35</v>
      </c>
      <c r="E391" s="8" t="n">
        <v>2022</v>
      </c>
      <c r="F391" s="8" t="s">
        <v>38</v>
      </c>
      <c r="G391" s="8" t="s">
        <v>49</v>
      </c>
      <c r="H391" s="9" t="n">
        <v>7161190.16</v>
      </c>
      <c r="I391" s="9" t="n">
        <v>4885384.34</v>
      </c>
      <c r="J391" s="9" t="n">
        <v>468615.9</v>
      </c>
      <c r="K391" s="9" t="n">
        <v>1807189.92</v>
      </c>
      <c r="L391" s="8" t="n">
        <v>422</v>
      </c>
      <c r="M391" s="8" t="n">
        <v>3570</v>
      </c>
      <c r="N391" s="10" t="n">
        <v>25.24</v>
      </c>
    </row>
    <row r="392" customFormat="false" ht="15" hidden="false" customHeight="false" outlineLevel="0" collapsed="false">
      <c r="A392" s="8" t="s">
        <v>103</v>
      </c>
      <c r="B392" s="8" t="s">
        <v>104</v>
      </c>
      <c r="C392" s="8" t="s">
        <v>95</v>
      </c>
      <c r="D392" s="8" t="s">
        <v>35</v>
      </c>
      <c r="E392" s="8" t="n">
        <v>2022</v>
      </c>
      <c r="F392" s="8" t="s">
        <v>40</v>
      </c>
      <c r="G392" s="8" t="s">
        <v>50</v>
      </c>
      <c r="H392" s="9" t="n">
        <v>6867692.22</v>
      </c>
      <c r="I392" s="9" t="n">
        <v>4640409.04</v>
      </c>
      <c r="J392" s="9" t="n">
        <v>316812.17</v>
      </c>
      <c r="K392" s="9" t="n">
        <v>1910471.01</v>
      </c>
      <c r="L392" s="8" t="n">
        <v>425</v>
      </c>
      <c r="M392" s="8" t="n">
        <v>2845</v>
      </c>
      <c r="N392" s="10" t="n">
        <v>27.82</v>
      </c>
    </row>
    <row r="393" customFormat="false" ht="15" hidden="false" customHeight="false" outlineLevel="0" collapsed="false">
      <c r="A393" s="8" t="s">
        <v>103</v>
      </c>
      <c r="B393" s="8" t="s">
        <v>104</v>
      </c>
      <c r="C393" s="8" t="s">
        <v>95</v>
      </c>
      <c r="D393" s="8" t="s">
        <v>35</v>
      </c>
      <c r="E393" s="8" t="n">
        <v>2022</v>
      </c>
      <c r="F393" s="8" t="s">
        <v>42</v>
      </c>
      <c r="G393" s="8" t="s">
        <v>51</v>
      </c>
      <c r="H393" s="9" t="n">
        <v>6215178.85</v>
      </c>
      <c r="I393" s="9" t="n">
        <v>4361819.08</v>
      </c>
      <c r="J393" s="9" t="n">
        <v>452871.8</v>
      </c>
      <c r="K393" s="9" t="n">
        <v>1400487.97</v>
      </c>
      <c r="L393" s="8" t="n">
        <v>425</v>
      </c>
      <c r="M393" s="8" t="n">
        <v>3732</v>
      </c>
      <c r="N393" s="10" t="n">
        <v>22.53</v>
      </c>
    </row>
    <row r="394" customFormat="false" ht="15" hidden="false" customHeight="false" outlineLevel="0" collapsed="false">
      <c r="A394" s="8" t="s">
        <v>103</v>
      </c>
      <c r="B394" s="8" t="s">
        <v>104</v>
      </c>
      <c r="C394" s="8" t="s">
        <v>95</v>
      </c>
      <c r="D394" s="8" t="s">
        <v>35</v>
      </c>
      <c r="E394" s="8" t="n">
        <v>2023</v>
      </c>
      <c r="F394" s="8" t="s">
        <v>36</v>
      </c>
      <c r="G394" s="8" t="s">
        <v>52</v>
      </c>
      <c r="H394" s="9" t="n">
        <v>6873882.91</v>
      </c>
      <c r="I394" s="9" t="n">
        <v>4028364.51</v>
      </c>
      <c r="J394" s="9" t="n">
        <v>271803.64</v>
      </c>
      <c r="K394" s="9" t="n">
        <v>2573714.76</v>
      </c>
      <c r="L394" s="8" t="n">
        <v>422</v>
      </c>
      <c r="M394" s="8" t="n">
        <v>8063</v>
      </c>
      <c r="N394" s="10" t="n">
        <v>37.44</v>
      </c>
    </row>
    <row r="395" customFormat="false" ht="15" hidden="false" customHeight="false" outlineLevel="0" collapsed="false">
      <c r="A395" s="8" t="s">
        <v>103</v>
      </c>
      <c r="B395" s="8" t="s">
        <v>104</v>
      </c>
      <c r="C395" s="8" t="s">
        <v>95</v>
      </c>
      <c r="D395" s="8" t="s">
        <v>35</v>
      </c>
      <c r="E395" s="8" t="n">
        <v>2023</v>
      </c>
      <c r="F395" s="8" t="s">
        <v>38</v>
      </c>
      <c r="G395" s="8" t="s">
        <v>53</v>
      </c>
      <c r="H395" s="9" t="n">
        <v>7831443.44</v>
      </c>
      <c r="I395" s="9" t="n">
        <v>4848199.09</v>
      </c>
      <c r="J395" s="9" t="n">
        <v>326684.25</v>
      </c>
      <c r="K395" s="9" t="n">
        <v>2656560.1</v>
      </c>
      <c r="L395" s="8" t="n">
        <v>425</v>
      </c>
      <c r="M395" s="8" t="n">
        <v>3846</v>
      </c>
      <c r="N395" s="10" t="n">
        <v>33.92</v>
      </c>
    </row>
    <row r="396" customFormat="false" ht="15" hidden="false" customHeight="false" outlineLevel="0" collapsed="false">
      <c r="A396" s="8" t="s">
        <v>103</v>
      </c>
      <c r="B396" s="8" t="s">
        <v>104</v>
      </c>
      <c r="C396" s="8" t="s">
        <v>95</v>
      </c>
      <c r="D396" s="8" t="s">
        <v>35</v>
      </c>
      <c r="E396" s="8" t="n">
        <v>2023</v>
      </c>
      <c r="F396" s="8" t="s">
        <v>40</v>
      </c>
      <c r="G396" s="8" t="s">
        <v>54</v>
      </c>
      <c r="H396" s="9" t="n">
        <v>7528363.21</v>
      </c>
      <c r="I396" s="9" t="n">
        <v>4867087.45</v>
      </c>
      <c r="J396" s="9" t="n">
        <v>366774.64</v>
      </c>
      <c r="K396" s="9" t="n">
        <v>2294501.12</v>
      </c>
      <c r="L396" s="8" t="n">
        <v>422</v>
      </c>
      <c r="M396" s="8" t="n">
        <v>3215</v>
      </c>
      <c r="N396" s="10" t="n">
        <v>30.48</v>
      </c>
    </row>
    <row r="397" customFormat="false" ht="15" hidden="false" customHeight="false" outlineLevel="0" collapsed="false">
      <c r="A397" s="8" t="s">
        <v>103</v>
      </c>
      <c r="B397" s="8" t="s">
        <v>104</v>
      </c>
      <c r="C397" s="8" t="s">
        <v>95</v>
      </c>
      <c r="D397" s="8" t="s">
        <v>35</v>
      </c>
      <c r="E397" s="8" t="n">
        <v>2023</v>
      </c>
      <c r="F397" s="8" t="s">
        <v>42</v>
      </c>
      <c r="G397" s="8" t="s">
        <v>55</v>
      </c>
      <c r="H397" s="9" t="n">
        <v>6481307.64</v>
      </c>
      <c r="I397" s="9" t="n">
        <v>4652279.16</v>
      </c>
      <c r="J397" s="9" t="n">
        <v>204236.41</v>
      </c>
      <c r="K397" s="9" t="n">
        <v>1624792.07</v>
      </c>
      <c r="L397" s="8" t="n">
        <v>421</v>
      </c>
      <c r="M397" s="8" t="n">
        <v>5403</v>
      </c>
      <c r="N397" s="10" t="n">
        <v>25.07</v>
      </c>
    </row>
    <row r="398" customFormat="false" ht="15" hidden="false" customHeight="false" outlineLevel="0" collapsed="false">
      <c r="A398" s="8" t="s">
        <v>103</v>
      </c>
      <c r="B398" s="8" t="s">
        <v>104</v>
      </c>
      <c r="C398" s="8" t="s">
        <v>95</v>
      </c>
      <c r="D398" s="8" t="s">
        <v>35</v>
      </c>
      <c r="E398" s="8" t="n">
        <v>2024</v>
      </c>
      <c r="F398" s="8" t="s">
        <v>36</v>
      </c>
      <c r="G398" s="8" t="s">
        <v>56</v>
      </c>
      <c r="H398" s="9" t="n">
        <v>7691055.86</v>
      </c>
      <c r="I398" s="9" t="n">
        <v>5061844.67</v>
      </c>
      <c r="J398" s="9" t="n">
        <v>477287.18</v>
      </c>
      <c r="K398" s="9" t="n">
        <v>2151924.01</v>
      </c>
      <c r="L398" s="8" t="n">
        <v>422</v>
      </c>
      <c r="M398" s="8" t="n">
        <v>4748</v>
      </c>
      <c r="N398" s="10" t="n">
        <v>27.98</v>
      </c>
    </row>
    <row r="399" customFormat="false" ht="15" hidden="false" customHeight="false" outlineLevel="0" collapsed="false">
      <c r="A399" s="8" t="s">
        <v>103</v>
      </c>
      <c r="B399" s="8" t="s">
        <v>104</v>
      </c>
      <c r="C399" s="8" t="s">
        <v>95</v>
      </c>
      <c r="D399" s="8" t="s">
        <v>35</v>
      </c>
      <c r="E399" s="8" t="n">
        <v>2024</v>
      </c>
      <c r="F399" s="8" t="s">
        <v>38</v>
      </c>
      <c r="G399" s="8" t="s">
        <v>57</v>
      </c>
      <c r="H399" s="9" t="n">
        <v>7379941.45</v>
      </c>
      <c r="I399" s="9" t="n">
        <v>5113429.72</v>
      </c>
      <c r="J399" s="9" t="n">
        <v>647152.97</v>
      </c>
      <c r="K399" s="9" t="n">
        <v>1619358.76</v>
      </c>
      <c r="L399" s="8" t="n">
        <v>422</v>
      </c>
      <c r="M399" s="8" t="n">
        <v>3782</v>
      </c>
      <c r="N399" s="10" t="n">
        <v>21.94</v>
      </c>
    </row>
    <row r="400" customFormat="false" ht="15" hidden="false" customHeight="false" outlineLevel="0" collapsed="false">
      <c r="A400" s="8" t="s">
        <v>103</v>
      </c>
      <c r="B400" s="8" t="s">
        <v>104</v>
      </c>
      <c r="C400" s="8" t="s">
        <v>95</v>
      </c>
      <c r="D400" s="8" t="s">
        <v>35</v>
      </c>
      <c r="E400" s="8" t="n">
        <v>2024</v>
      </c>
      <c r="F400" s="8" t="s">
        <v>40</v>
      </c>
      <c r="G400" s="8" t="s">
        <v>58</v>
      </c>
      <c r="H400" s="9" t="n">
        <v>7346132.95</v>
      </c>
      <c r="I400" s="9" t="n">
        <v>5210878.62</v>
      </c>
      <c r="J400" s="9" t="n">
        <v>516889.93</v>
      </c>
      <c r="K400" s="9" t="n">
        <v>1618364.4</v>
      </c>
      <c r="L400" s="8" t="n">
        <v>425</v>
      </c>
      <c r="M400" s="8" t="n">
        <v>4145</v>
      </c>
      <c r="N400" s="10" t="n">
        <v>22.03</v>
      </c>
    </row>
    <row r="401" customFormat="false" ht="15" hidden="false" customHeight="false" outlineLevel="0" collapsed="false">
      <c r="A401" s="8" t="s">
        <v>103</v>
      </c>
      <c r="B401" s="8" t="s">
        <v>104</v>
      </c>
      <c r="C401" s="8" t="s">
        <v>95</v>
      </c>
      <c r="D401" s="8" t="s">
        <v>35</v>
      </c>
      <c r="E401" s="8" t="n">
        <v>2024</v>
      </c>
      <c r="F401" s="8" t="s">
        <v>42</v>
      </c>
      <c r="G401" s="8" t="s">
        <v>59</v>
      </c>
      <c r="H401" s="9" t="n">
        <v>6116264.91</v>
      </c>
      <c r="I401" s="9" t="n">
        <v>3378816.51</v>
      </c>
      <c r="J401" s="9" t="n">
        <v>516000.06</v>
      </c>
      <c r="K401" s="9" t="n">
        <v>2221448.34</v>
      </c>
      <c r="L401" s="8" t="n">
        <v>427</v>
      </c>
      <c r="M401" s="8" t="n">
        <v>3529</v>
      </c>
      <c r="N401" s="10" t="n">
        <v>36.32</v>
      </c>
    </row>
    <row r="402" customFormat="false" ht="15" hidden="false" customHeight="false" outlineLevel="0" collapsed="false">
      <c r="A402" s="8" t="s">
        <v>105</v>
      </c>
      <c r="B402" s="8" t="s">
        <v>106</v>
      </c>
      <c r="C402" s="8" t="s">
        <v>107</v>
      </c>
      <c r="D402" s="8" t="s">
        <v>73</v>
      </c>
      <c r="E402" s="8" t="n">
        <v>2020</v>
      </c>
      <c r="F402" s="8" t="s">
        <v>36</v>
      </c>
      <c r="G402" s="8" t="s">
        <v>37</v>
      </c>
      <c r="H402" s="9" t="n">
        <v>3688473.32</v>
      </c>
      <c r="I402" s="9" t="n">
        <v>2676344.81</v>
      </c>
      <c r="J402" s="9" t="n">
        <v>205936.36</v>
      </c>
      <c r="K402" s="9" t="n">
        <v>806192.15</v>
      </c>
      <c r="L402" s="8" t="n">
        <v>117</v>
      </c>
      <c r="M402" s="8" t="n">
        <v>2625</v>
      </c>
      <c r="N402" s="10" t="n">
        <v>21.86</v>
      </c>
    </row>
    <row r="403" customFormat="false" ht="15" hidden="false" customHeight="false" outlineLevel="0" collapsed="false">
      <c r="A403" s="8" t="s">
        <v>105</v>
      </c>
      <c r="B403" s="8" t="s">
        <v>106</v>
      </c>
      <c r="C403" s="8" t="s">
        <v>107</v>
      </c>
      <c r="D403" s="8" t="s">
        <v>73</v>
      </c>
      <c r="E403" s="8" t="n">
        <v>2020</v>
      </c>
      <c r="F403" s="8" t="s">
        <v>38</v>
      </c>
      <c r="G403" s="8" t="s">
        <v>39</v>
      </c>
      <c r="H403" s="9" t="n">
        <v>3978244.88</v>
      </c>
      <c r="I403" s="9" t="n">
        <v>2733407.41</v>
      </c>
      <c r="J403" s="9" t="n">
        <v>222646.5</v>
      </c>
      <c r="K403" s="9" t="n">
        <v>1022190.97</v>
      </c>
      <c r="L403" s="8" t="n">
        <v>117</v>
      </c>
      <c r="M403" s="8" t="n">
        <v>2771</v>
      </c>
      <c r="N403" s="10" t="n">
        <v>25.69</v>
      </c>
    </row>
    <row r="404" customFormat="false" ht="15" hidden="false" customHeight="false" outlineLevel="0" collapsed="false">
      <c r="A404" s="8" t="s">
        <v>105</v>
      </c>
      <c r="B404" s="8" t="s">
        <v>106</v>
      </c>
      <c r="C404" s="8" t="s">
        <v>107</v>
      </c>
      <c r="D404" s="8" t="s">
        <v>73</v>
      </c>
      <c r="E404" s="8" t="n">
        <v>2020</v>
      </c>
      <c r="F404" s="8" t="s">
        <v>40</v>
      </c>
      <c r="G404" s="8" t="s">
        <v>41</v>
      </c>
      <c r="H404" s="9" t="n">
        <v>3485467.93</v>
      </c>
      <c r="I404" s="9" t="n">
        <v>2464413.21</v>
      </c>
      <c r="J404" s="9" t="n">
        <v>267892.21</v>
      </c>
      <c r="K404" s="9" t="n">
        <v>753162.51</v>
      </c>
      <c r="L404" s="8" t="n">
        <v>115</v>
      </c>
      <c r="M404" s="8" t="n">
        <v>1480</v>
      </c>
      <c r="N404" s="10" t="n">
        <v>21.61</v>
      </c>
    </row>
    <row r="405" customFormat="false" ht="15" hidden="false" customHeight="false" outlineLevel="0" collapsed="false">
      <c r="A405" s="8" t="s">
        <v>105</v>
      </c>
      <c r="B405" s="8" t="s">
        <v>106</v>
      </c>
      <c r="C405" s="8" t="s">
        <v>107</v>
      </c>
      <c r="D405" s="8" t="s">
        <v>73</v>
      </c>
      <c r="E405" s="8" t="n">
        <v>2020</v>
      </c>
      <c r="F405" s="8" t="s">
        <v>42</v>
      </c>
      <c r="G405" s="8" t="s">
        <v>43</v>
      </c>
      <c r="H405" s="9" t="n">
        <v>3279284.14</v>
      </c>
      <c r="I405" s="9" t="n">
        <v>2444446.76</v>
      </c>
      <c r="J405" s="9" t="n">
        <v>186942.12</v>
      </c>
      <c r="K405" s="9" t="n">
        <v>647895.26</v>
      </c>
      <c r="L405" s="8" t="n">
        <v>112</v>
      </c>
      <c r="M405" s="8" t="n">
        <v>1330</v>
      </c>
      <c r="N405" s="10" t="n">
        <v>19.76</v>
      </c>
    </row>
    <row r="406" customFormat="false" ht="15" hidden="false" customHeight="false" outlineLevel="0" collapsed="false">
      <c r="A406" s="8" t="s">
        <v>105</v>
      </c>
      <c r="B406" s="8" t="s">
        <v>106</v>
      </c>
      <c r="C406" s="8" t="s">
        <v>107</v>
      </c>
      <c r="D406" s="8" t="s">
        <v>73</v>
      </c>
      <c r="E406" s="8" t="n">
        <v>2021</v>
      </c>
      <c r="F406" s="8" t="s">
        <v>36</v>
      </c>
      <c r="G406" s="8" t="s">
        <v>44</v>
      </c>
      <c r="H406" s="9" t="n">
        <v>4825686.42</v>
      </c>
      <c r="I406" s="9" t="n">
        <v>2988570.93</v>
      </c>
      <c r="J406" s="9" t="n">
        <v>267167.94</v>
      </c>
      <c r="K406" s="9" t="n">
        <v>1569947.55</v>
      </c>
      <c r="L406" s="8" t="n">
        <v>109</v>
      </c>
      <c r="M406" s="8" t="n">
        <v>4199</v>
      </c>
      <c r="N406" s="10" t="n">
        <v>32.53</v>
      </c>
    </row>
    <row r="407" customFormat="false" ht="15" hidden="false" customHeight="false" outlineLevel="0" collapsed="false">
      <c r="A407" s="8" t="s">
        <v>105</v>
      </c>
      <c r="B407" s="8" t="s">
        <v>106</v>
      </c>
      <c r="C407" s="8" t="s">
        <v>107</v>
      </c>
      <c r="D407" s="8" t="s">
        <v>73</v>
      </c>
      <c r="E407" s="8" t="n">
        <v>2021</v>
      </c>
      <c r="F407" s="8" t="s">
        <v>38</v>
      </c>
      <c r="G407" s="8" t="s">
        <v>45</v>
      </c>
      <c r="H407" s="9" t="n">
        <v>4839551.34</v>
      </c>
      <c r="I407" s="9" t="n">
        <v>3272214.7</v>
      </c>
      <c r="J407" s="9" t="n">
        <v>287202.285</v>
      </c>
      <c r="K407" s="9" t="n">
        <v>1280134.355</v>
      </c>
      <c r="L407" s="8" t="n">
        <v>112</v>
      </c>
      <c r="M407" s="8" t="n">
        <v>4632</v>
      </c>
      <c r="N407" s="10" t="n">
        <v>26.45</v>
      </c>
    </row>
    <row r="408" customFormat="false" ht="15" hidden="false" customHeight="false" outlineLevel="0" collapsed="false">
      <c r="A408" s="8" t="s">
        <v>105</v>
      </c>
      <c r="B408" s="8" t="s">
        <v>106</v>
      </c>
      <c r="C408" s="8" t="s">
        <v>107</v>
      </c>
      <c r="D408" s="8" t="s">
        <v>73</v>
      </c>
      <c r="E408" s="8" t="n">
        <v>2021</v>
      </c>
      <c r="F408" s="8" t="s">
        <v>40</v>
      </c>
      <c r="G408" s="8" t="s">
        <v>46</v>
      </c>
      <c r="H408" s="9" t="n">
        <v>4623819.15</v>
      </c>
      <c r="I408" s="9" t="n">
        <v>3097075.3</v>
      </c>
      <c r="J408" s="9" t="n">
        <v>164256.64</v>
      </c>
      <c r="K408" s="9" t="n">
        <v>1362487.21</v>
      </c>
      <c r="L408" s="8" t="n">
        <v>110</v>
      </c>
      <c r="M408" s="8" t="n">
        <v>3685</v>
      </c>
      <c r="N408" s="10" t="n">
        <v>29.47</v>
      </c>
    </row>
    <row r="409" customFormat="false" ht="15" hidden="false" customHeight="false" outlineLevel="0" collapsed="false">
      <c r="A409" s="8" t="s">
        <v>105</v>
      </c>
      <c r="B409" s="8" t="s">
        <v>106</v>
      </c>
      <c r="C409" s="8" t="s">
        <v>107</v>
      </c>
      <c r="D409" s="8" t="s">
        <v>73</v>
      </c>
      <c r="E409" s="8" t="n">
        <v>2021</v>
      </c>
      <c r="F409" s="8" t="s">
        <v>42</v>
      </c>
      <c r="G409" s="8" t="s">
        <v>47</v>
      </c>
      <c r="H409" s="9" t="n">
        <v>4549572.51</v>
      </c>
      <c r="I409" s="9" t="n">
        <v>2841899.4</v>
      </c>
      <c r="J409" s="9" t="n">
        <v>328604.42</v>
      </c>
      <c r="K409" s="9" t="n">
        <v>1379068.69</v>
      </c>
      <c r="L409" s="8" t="n">
        <v>112</v>
      </c>
      <c r="M409" s="8" t="n">
        <v>2342</v>
      </c>
      <c r="N409" s="10" t="n">
        <v>30.31</v>
      </c>
    </row>
    <row r="410" customFormat="false" ht="15" hidden="false" customHeight="false" outlineLevel="0" collapsed="false">
      <c r="A410" s="8" t="s">
        <v>105</v>
      </c>
      <c r="B410" s="8" t="s">
        <v>106</v>
      </c>
      <c r="C410" s="8" t="s">
        <v>107</v>
      </c>
      <c r="D410" s="8" t="s">
        <v>73</v>
      </c>
      <c r="E410" s="8" t="n">
        <v>2022</v>
      </c>
      <c r="F410" s="8" t="s">
        <v>36</v>
      </c>
      <c r="G410" s="8" t="s">
        <v>48</v>
      </c>
      <c r="H410" s="9" t="n">
        <v>4404509.04</v>
      </c>
      <c r="I410" s="9" t="n">
        <v>3185425.18</v>
      </c>
      <c r="J410" s="9" t="n">
        <v>290081.39</v>
      </c>
      <c r="K410" s="9" t="n">
        <v>929002.47</v>
      </c>
      <c r="L410" s="8" t="n">
        <v>114</v>
      </c>
      <c r="M410" s="8" t="n">
        <v>3848</v>
      </c>
      <c r="N410" s="10" t="n">
        <v>21.09</v>
      </c>
    </row>
    <row r="411" customFormat="false" ht="15" hidden="false" customHeight="false" outlineLevel="0" collapsed="false">
      <c r="A411" s="8" t="s">
        <v>105</v>
      </c>
      <c r="B411" s="8" t="s">
        <v>106</v>
      </c>
      <c r="C411" s="8" t="s">
        <v>107</v>
      </c>
      <c r="D411" s="8" t="s">
        <v>73</v>
      </c>
      <c r="E411" s="8" t="n">
        <v>2022</v>
      </c>
      <c r="F411" s="8" t="s">
        <v>38</v>
      </c>
      <c r="G411" s="8" t="s">
        <v>49</v>
      </c>
      <c r="H411" s="9" t="n">
        <v>5138374.15</v>
      </c>
      <c r="I411" s="9" t="n">
        <v>3209998.65</v>
      </c>
      <c r="J411" s="9" t="n">
        <v>346903.39</v>
      </c>
      <c r="K411" s="9" t="n">
        <v>1581472.11</v>
      </c>
      <c r="L411" s="8" t="n">
        <v>117</v>
      </c>
      <c r="M411" s="8" t="n">
        <v>3530</v>
      </c>
      <c r="N411" s="10" t="n">
        <v>30.78</v>
      </c>
    </row>
    <row r="412" customFormat="false" ht="15" hidden="false" customHeight="false" outlineLevel="0" collapsed="false">
      <c r="A412" s="8" t="s">
        <v>105</v>
      </c>
      <c r="B412" s="8" t="s">
        <v>106</v>
      </c>
      <c r="C412" s="8" t="s">
        <v>107</v>
      </c>
      <c r="D412" s="8" t="s">
        <v>73</v>
      </c>
      <c r="E412" s="8" t="n">
        <v>2022</v>
      </c>
      <c r="F412" s="8" t="s">
        <v>40</v>
      </c>
      <c r="G412" s="8" t="s">
        <v>50</v>
      </c>
      <c r="H412" s="9" t="n">
        <v>4613078.06</v>
      </c>
      <c r="I412" s="9" t="n">
        <v>2905349.14</v>
      </c>
      <c r="J412" s="9" t="n">
        <v>403436.1</v>
      </c>
      <c r="K412" s="9" t="n">
        <v>1304292.82</v>
      </c>
      <c r="L412" s="8" t="n">
        <v>119</v>
      </c>
      <c r="M412" s="8" t="n">
        <v>2373</v>
      </c>
      <c r="N412" s="10" t="n">
        <v>28.27</v>
      </c>
    </row>
    <row r="413" customFormat="false" ht="15" hidden="false" customHeight="false" outlineLevel="0" collapsed="false">
      <c r="A413" s="8" t="s">
        <v>105</v>
      </c>
      <c r="B413" s="8" t="s">
        <v>106</v>
      </c>
      <c r="C413" s="8" t="s">
        <v>107</v>
      </c>
      <c r="D413" s="8" t="s">
        <v>73</v>
      </c>
      <c r="E413" s="8" t="n">
        <v>2022</v>
      </c>
      <c r="F413" s="8" t="s">
        <v>42</v>
      </c>
      <c r="G413" s="8" t="s">
        <v>51</v>
      </c>
      <c r="H413" s="9" t="n">
        <v>4416318.54</v>
      </c>
      <c r="I413" s="9" t="n">
        <v>2436323.9</v>
      </c>
      <c r="J413" s="9" t="n">
        <v>159489.1</v>
      </c>
      <c r="K413" s="9" t="n">
        <v>1820505.54</v>
      </c>
      <c r="L413" s="8" t="n">
        <v>122</v>
      </c>
      <c r="M413" s="8" t="n">
        <v>2131</v>
      </c>
      <c r="N413" s="10" t="n">
        <v>41.22</v>
      </c>
    </row>
    <row r="414" customFormat="false" ht="15" hidden="false" customHeight="false" outlineLevel="0" collapsed="false">
      <c r="A414" s="8" t="s">
        <v>105</v>
      </c>
      <c r="B414" s="8" t="s">
        <v>106</v>
      </c>
      <c r="C414" s="8" t="s">
        <v>107</v>
      </c>
      <c r="D414" s="8" t="s">
        <v>73</v>
      </c>
      <c r="E414" s="8" t="n">
        <v>2023</v>
      </c>
      <c r="F414" s="8" t="s">
        <v>36</v>
      </c>
      <c r="G414" s="8" t="s">
        <v>52</v>
      </c>
      <c r="H414" s="9" t="n">
        <v>4795824.6</v>
      </c>
      <c r="I414" s="9" t="n">
        <v>3129492.7</v>
      </c>
      <c r="J414" s="9" t="n">
        <v>379038.66</v>
      </c>
      <c r="K414" s="9" t="n">
        <v>1287293.24</v>
      </c>
      <c r="L414" s="8" t="n">
        <v>120</v>
      </c>
      <c r="M414" s="8" t="n">
        <v>2471</v>
      </c>
      <c r="N414" s="10" t="n">
        <v>26.84</v>
      </c>
    </row>
    <row r="415" customFormat="false" ht="15" hidden="false" customHeight="false" outlineLevel="0" collapsed="false">
      <c r="A415" s="8" t="s">
        <v>105</v>
      </c>
      <c r="B415" s="8" t="s">
        <v>106</v>
      </c>
      <c r="C415" s="8" t="s">
        <v>107</v>
      </c>
      <c r="D415" s="8" t="s">
        <v>73</v>
      </c>
      <c r="E415" s="8" t="n">
        <v>2023</v>
      </c>
      <c r="F415" s="8" t="s">
        <v>38</v>
      </c>
      <c r="G415" s="8" t="s">
        <v>53</v>
      </c>
      <c r="H415" s="9" t="n">
        <v>4714090.44</v>
      </c>
      <c r="I415" s="9" t="n">
        <v>2678915.29</v>
      </c>
      <c r="J415" s="9" t="n">
        <v>343389.26</v>
      </c>
      <c r="K415" s="9" t="n">
        <v>1691785.89</v>
      </c>
      <c r="L415" s="8" t="n">
        <v>123</v>
      </c>
      <c r="M415" s="8" t="n">
        <v>2293</v>
      </c>
      <c r="N415" s="10" t="n">
        <v>35.89</v>
      </c>
    </row>
    <row r="416" customFormat="false" ht="15" hidden="false" customHeight="false" outlineLevel="0" collapsed="false">
      <c r="A416" s="8" t="s">
        <v>105</v>
      </c>
      <c r="B416" s="8" t="s">
        <v>106</v>
      </c>
      <c r="C416" s="8" t="s">
        <v>107</v>
      </c>
      <c r="D416" s="8" t="s">
        <v>73</v>
      </c>
      <c r="E416" s="8" t="n">
        <v>2023</v>
      </c>
      <c r="F416" s="8" t="s">
        <v>40</v>
      </c>
      <c r="G416" s="8" t="s">
        <v>54</v>
      </c>
      <c r="H416" s="9" t="n">
        <v>4719301.26</v>
      </c>
      <c r="I416" s="9" t="n">
        <v>2668429.95</v>
      </c>
      <c r="J416" s="9" t="n">
        <v>146056.67</v>
      </c>
      <c r="K416" s="9" t="n">
        <v>1904814.64</v>
      </c>
      <c r="L416" s="8" t="n">
        <v>125</v>
      </c>
      <c r="M416" s="8" t="n">
        <v>3100</v>
      </c>
      <c r="N416" s="10" t="n">
        <v>40.36</v>
      </c>
    </row>
    <row r="417" customFormat="false" ht="15" hidden="false" customHeight="false" outlineLevel="0" collapsed="false">
      <c r="A417" s="8" t="s">
        <v>105</v>
      </c>
      <c r="B417" s="8" t="s">
        <v>106</v>
      </c>
      <c r="C417" s="8" t="s">
        <v>107</v>
      </c>
      <c r="D417" s="8" t="s">
        <v>73</v>
      </c>
      <c r="E417" s="8" t="n">
        <v>2023</v>
      </c>
      <c r="F417" s="8" t="s">
        <v>42</v>
      </c>
      <c r="G417" s="8" t="s">
        <v>55</v>
      </c>
      <c r="H417" s="9" t="n">
        <v>4521226.41</v>
      </c>
      <c r="I417" s="9" t="n">
        <v>3095115.56</v>
      </c>
      <c r="J417" s="9" t="n">
        <v>300227.08</v>
      </c>
      <c r="K417" s="9" t="n">
        <v>1125883.77</v>
      </c>
      <c r="L417" s="8" t="n">
        <v>124</v>
      </c>
      <c r="M417" s="8" t="n">
        <v>2055</v>
      </c>
      <c r="N417" s="10" t="n">
        <v>24.9</v>
      </c>
    </row>
    <row r="418" customFormat="false" ht="15" hidden="false" customHeight="false" outlineLevel="0" collapsed="false">
      <c r="A418" s="8" t="s">
        <v>105</v>
      </c>
      <c r="B418" s="8" t="s">
        <v>106</v>
      </c>
      <c r="C418" s="8" t="s">
        <v>107</v>
      </c>
      <c r="D418" s="8" t="s">
        <v>73</v>
      </c>
      <c r="E418" s="8" t="n">
        <v>2024</v>
      </c>
      <c r="F418" s="8" t="s">
        <v>36</v>
      </c>
      <c r="G418" s="8" t="s">
        <v>56</v>
      </c>
      <c r="H418" s="9" t="n">
        <v>4978783.12</v>
      </c>
      <c r="I418" s="9" t="n">
        <v>3249762.32</v>
      </c>
      <c r="J418" s="9" t="n">
        <v>268091.98</v>
      </c>
      <c r="K418" s="9" t="n">
        <v>1460928.82</v>
      </c>
      <c r="L418" s="8" t="n">
        <v>125</v>
      </c>
      <c r="M418" s="8" t="n">
        <v>3261</v>
      </c>
      <c r="N418" s="10" t="n">
        <v>29.34</v>
      </c>
    </row>
    <row r="419" customFormat="false" ht="15" hidden="false" customHeight="false" outlineLevel="0" collapsed="false">
      <c r="A419" s="8" t="s">
        <v>105</v>
      </c>
      <c r="B419" s="8" t="s">
        <v>106</v>
      </c>
      <c r="C419" s="8" t="s">
        <v>107</v>
      </c>
      <c r="D419" s="8" t="s">
        <v>73</v>
      </c>
      <c r="E419" s="8" t="n">
        <v>2024</v>
      </c>
      <c r="F419" s="8" t="s">
        <v>38</v>
      </c>
      <c r="G419" s="8" t="s">
        <v>57</v>
      </c>
      <c r="H419" s="9" t="n">
        <v>4960252.61</v>
      </c>
      <c r="I419" s="9" t="n">
        <v>3262191.42</v>
      </c>
      <c r="J419" s="9" t="n">
        <v>322748.43</v>
      </c>
      <c r="K419" s="9" t="n">
        <v>1375312.76</v>
      </c>
      <c r="L419" s="8" t="n">
        <v>122</v>
      </c>
      <c r="M419" s="8" t="n">
        <v>2136</v>
      </c>
      <c r="N419" s="10" t="n">
        <v>27.73</v>
      </c>
    </row>
    <row r="420" customFormat="false" ht="15" hidden="false" customHeight="false" outlineLevel="0" collapsed="false">
      <c r="A420" s="8" t="s">
        <v>105</v>
      </c>
      <c r="B420" s="8" t="s">
        <v>106</v>
      </c>
      <c r="C420" s="8" t="s">
        <v>107</v>
      </c>
      <c r="D420" s="8" t="s">
        <v>73</v>
      </c>
      <c r="E420" s="8" t="n">
        <v>2024</v>
      </c>
      <c r="F420" s="8" t="s">
        <v>40</v>
      </c>
      <c r="G420" s="8" t="s">
        <v>58</v>
      </c>
      <c r="H420" s="9" t="n">
        <v>5023464.11</v>
      </c>
      <c r="I420" s="9" t="n">
        <v>3600460.53</v>
      </c>
      <c r="J420" s="9" t="n">
        <v>342988.34</v>
      </c>
      <c r="K420" s="9" t="n">
        <v>1080015.24</v>
      </c>
      <c r="L420" s="8" t="n">
        <v>125</v>
      </c>
      <c r="M420" s="8" t="n">
        <v>4805</v>
      </c>
      <c r="N420" s="10" t="n">
        <v>21.5</v>
      </c>
    </row>
    <row r="421" customFormat="false" ht="15" hidden="false" customHeight="false" outlineLevel="0" collapsed="false">
      <c r="A421" s="8" t="s">
        <v>105</v>
      </c>
      <c r="B421" s="8" t="s">
        <v>106</v>
      </c>
      <c r="C421" s="8" t="s">
        <v>107</v>
      </c>
      <c r="D421" s="8" t="s">
        <v>73</v>
      </c>
      <c r="E421" s="8" t="n">
        <v>2024</v>
      </c>
      <c r="F421" s="8" t="s">
        <v>42</v>
      </c>
      <c r="G421" s="8" t="s">
        <v>59</v>
      </c>
      <c r="H421" s="9" t="n">
        <v>4400985.44</v>
      </c>
      <c r="I421" s="9" t="n">
        <v>3146478.59</v>
      </c>
      <c r="J421" s="9" t="n">
        <v>148931.02</v>
      </c>
      <c r="K421" s="9" t="n">
        <v>1105575.83</v>
      </c>
      <c r="L421" s="8" t="n">
        <v>125</v>
      </c>
      <c r="M421" s="8" t="n">
        <v>5256</v>
      </c>
      <c r="N421" s="10" t="n">
        <v>25.12</v>
      </c>
    </row>
    <row r="422" customFormat="false" ht="15" hidden="false" customHeight="false" outlineLevel="0" collapsed="false">
      <c r="A422" s="8" t="s">
        <v>108</v>
      </c>
      <c r="B422" s="8" t="s">
        <v>109</v>
      </c>
      <c r="C422" s="8" t="s">
        <v>107</v>
      </c>
      <c r="D422" s="8" t="s">
        <v>62</v>
      </c>
      <c r="E422" s="8" t="n">
        <v>2020</v>
      </c>
      <c r="F422" s="8" t="s">
        <v>36</v>
      </c>
      <c r="G422" s="8" t="s">
        <v>37</v>
      </c>
      <c r="H422" s="9" t="n">
        <v>4092803.74</v>
      </c>
      <c r="I422" s="9" t="n">
        <v>2481088.8</v>
      </c>
      <c r="J422" s="9" t="n">
        <v>174360.65</v>
      </c>
      <c r="K422" s="9" t="n">
        <v>1437354.29</v>
      </c>
      <c r="L422" s="8" t="n">
        <v>222</v>
      </c>
      <c r="M422" s="8" t="n">
        <v>4133</v>
      </c>
      <c r="N422" s="10" t="n">
        <v>35.12</v>
      </c>
    </row>
    <row r="423" customFormat="false" ht="15" hidden="false" customHeight="false" outlineLevel="0" collapsed="false">
      <c r="A423" s="8" t="s">
        <v>108</v>
      </c>
      <c r="B423" s="8" t="s">
        <v>109</v>
      </c>
      <c r="C423" s="8" t="s">
        <v>107</v>
      </c>
      <c r="D423" s="8" t="s">
        <v>62</v>
      </c>
      <c r="E423" s="8" t="n">
        <v>2020</v>
      </c>
      <c r="F423" s="8" t="s">
        <v>38</v>
      </c>
      <c r="G423" s="8" t="s">
        <v>39</v>
      </c>
      <c r="H423" s="9" t="n">
        <v>4502661.1</v>
      </c>
      <c r="I423" s="9" t="n">
        <v>2643644.45</v>
      </c>
      <c r="J423" s="9" t="n">
        <v>154123.91</v>
      </c>
      <c r="K423" s="9" t="n">
        <v>1704892.74</v>
      </c>
      <c r="L423" s="8" t="n">
        <v>222</v>
      </c>
      <c r="M423" s="8" t="n">
        <v>2061</v>
      </c>
      <c r="N423" s="10" t="n">
        <v>37.86</v>
      </c>
    </row>
    <row r="424" customFormat="false" ht="15" hidden="false" customHeight="false" outlineLevel="0" collapsed="false">
      <c r="A424" s="8" t="s">
        <v>108</v>
      </c>
      <c r="B424" s="8" t="s">
        <v>109</v>
      </c>
      <c r="C424" s="8" t="s">
        <v>107</v>
      </c>
      <c r="D424" s="8" t="s">
        <v>62</v>
      </c>
      <c r="E424" s="8" t="n">
        <v>2020</v>
      </c>
      <c r="F424" s="8" t="s">
        <v>40</v>
      </c>
      <c r="G424" s="8" t="s">
        <v>41</v>
      </c>
      <c r="H424" s="9" t="n">
        <v>4499323.5</v>
      </c>
      <c r="I424" s="9" t="n">
        <v>3306607.78</v>
      </c>
      <c r="J424" s="9" t="n">
        <v>137129.77</v>
      </c>
      <c r="K424" s="9" t="n">
        <v>1055585.95</v>
      </c>
      <c r="L424" s="8" t="n">
        <v>223</v>
      </c>
      <c r="M424" s="8" t="n">
        <v>3648</v>
      </c>
      <c r="N424" s="10" t="n">
        <v>23.46</v>
      </c>
    </row>
    <row r="425" customFormat="false" ht="15" hidden="false" customHeight="false" outlineLevel="0" collapsed="false">
      <c r="A425" s="8" t="s">
        <v>108</v>
      </c>
      <c r="B425" s="8" t="s">
        <v>109</v>
      </c>
      <c r="C425" s="8" t="s">
        <v>107</v>
      </c>
      <c r="D425" s="8" t="s">
        <v>62</v>
      </c>
      <c r="E425" s="8" t="n">
        <v>2020</v>
      </c>
      <c r="F425" s="8" t="s">
        <v>42</v>
      </c>
      <c r="G425" s="8" t="s">
        <v>43</v>
      </c>
      <c r="H425" s="9" t="n">
        <v>3499842.1</v>
      </c>
      <c r="I425" s="9" t="n">
        <v>2504875.91</v>
      </c>
      <c r="J425" s="9" t="n">
        <v>179287.63</v>
      </c>
      <c r="K425" s="9" t="n">
        <v>815678.56</v>
      </c>
      <c r="L425" s="8" t="n">
        <v>224</v>
      </c>
      <c r="M425" s="8" t="n">
        <v>1487</v>
      </c>
      <c r="N425" s="10" t="n">
        <v>23.31</v>
      </c>
    </row>
    <row r="426" customFormat="false" ht="15" hidden="false" customHeight="false" outlineLevel="0" collapsed="false">
      <c r="A426" s="8" t="s">
        <v>108</v>
      </c>
      <c r="B426" s="8" t="s">
        <v>109</v>
      </c>
      <c r="C426" s="8" t="s">
        <v>107</v>
      </c>
      <c r="D426" s="8" t="s">
        <v>62</v>
      </c>
      <c r="E426" s="8" t="n">
        <v>2021</v>
      </c>
      <c r="F426" s="8" t="s">
        <v>36</v>
      </c>
      <c r="G426" s="8" t="s">
        <v>44</v>
      </c>
      <c r="H426" s="9" t="n">
        <v>5117363.16</v>
      </c>
      <c r="I426" s="9" t="n">
        <v>3777761.13</v>
      </c>
      <c r="J426" s="9" t="n">
        <v>287202.285</v>
      </c>
      <c r="K426" s="9" t="n">
        <v>1052399.745</v>
      </c>
      <c r="L426" s="8" t="n">
        <v>226</v>
      </c>
      <c r="M426" s="8" t="n">
        <v>3091</v>
      </c>
      <c r="N426" s="10" t="n">
        <v>20.57</v>
      </c>
    </row>
    <row r="427" customFormat="false" ht="15" hidden="false" customHeight="false" outlineLevel="0" collapsed="false">
      <c r="A427" s="8" t="s">
        <v>108</v>
      </c>
      <c r="B427" s="8" t="s">
        <v>109</v>
      </c>
      <c r="C427" s="8" t="s">
        <v>107</v>
      </c>
      <c r="D427" s="8" t="s">
        <v>62</v>
      </c>
      <c r="E427" s="8" t="n">
        <v>2021</v>
      </c>
      <c r="F427" s="8" t="s">
        <v>38</v>
      </c>
      <c r="G427" s="8" t="s">
        <v>45</v>
      </c>
      <c r="H427" s="9" t="n">
        <v>5248258.59</v>
      </c>
      <c r="I427" s="9" t="n">
        <v>3720475.43</v>
      </c>
      <c r="J427" s="9" t="n">
        <v>321697.07</v>
      </c>
      <c r="K427" s="9" t="n">
        <v>1206086.09</v>
      </c>
      <c r="L427" s="8" t="n">
        <v>228</v>
      </c>
      <c r="M427" s="8" t="n">
        <v>3310</v>
      </c>
      <c r="N427" s="10" t="n">
        <v>22.98</v>
      </c>
    </row>
    <row r="428" customFormat="false" ht="15" hidden="false" customHeight="false" outlineLevel="0" collapsed="false">
      <c r="A428" s="8" t="s">
        <v>108</v>
      </c>
      <c r="B428" s="8" t="s">
        <v>109</v>
      </c>
      <c r="C428" s="8" t="s">
        <v>107</v>
      </c>
      <c r="D428" s="8" t="s">
        <v>62</v>
      </c>
      <c r="E428" s="8" t="n">
        <v>2021</v>
      </c>
      <c r="F428" s="8" t="s">
        <v>40</v>
      </c>
      <c r="G428" s="8" t="s">
        <v>46</v>
      </c>
      <c r="H428" s="9" t="n">
        <v>6016422.37</v>
      </c>
      <c r="I428" s="9" t="n">
        <v>4119619.38</v>
      </c>
      <c r="J428" s="9" t="n">
        <v>238382.23</v>
      </c>
      <c r="K428" s="9" t="n">
        <v>1658420.76</v>
      </c>
      <c r="L428" s="8" t="n">
        <v>231</v>
      </c>
      <c r="M428" s="8" t="n">
        <v>5054</v>
      </c>
      <c r="N428" s="10" t="n">
        <v>27.56</v>
      </c>
    </row>
    <row r="429" customFormat="false" ht="15" hidden="false" customHeight="false" outlineLevel="0" collapsed="false">
      <c r="A429" s="8" t="s">
        <v>108</v>
      </c>
      <c r="B429" s="8" t="s">
        <v>109</v>
      </c>
      <c r="C429" s="8" t="s">
        <v>107</v>
      </c>
      <c r="D429" s="8" t="s">
        <v>62</v>
      </c>
      <c r="E429" s="8" t="n">
        <v>2021</v>
      </c>
      <c r="F429" s="8" t="s">
        <v>42</v>
      </c>
      <c r="G429" s="8" t="s">
        <v>47</v>
      </c>
      <c r="H429" s="9" t="n">
        <v>4800443.21</v>
      </c>
      <c r="I429" s="9" t="n">
        <v>3351310.52</v>
      </c>
      <c r="J429" s="9" t="n">
        <v>267752</v>
      </c>
      <c r="K429" s="9" t="n">
        <v>1181380.69</v>
      </c>
      <c r="L429" s="8" t="n">
        <v>233</v>
      </c>
      <c r="M429" s="8" t="n">
        <v>2241</v>
      </c>
      <c r="N429" s="10" t="n">
        <v>24.61</v>
      </c>
    </row>
    <row r="430" customFormat="false" ht="15" hidden="false" customHeight="false" outlineLevel="0" collapsed="false">
      <c r="A430" s="8" t="s">
        <v>108</v>
      </c>
      <c r="B430" s="8" t="s">
        <v>109</v>
      </c>
      <c r="C430" s="8" t="s">
        <v>107</v>
      </c>
      <c r="D430" s="8" t="s">
        <v>62</v>
      </c>
      <c r="E430" s="8" t="n">
        <v>2022</v>
      </c>
      <c r="F430" s="8" t="s">
        <v>36</v>
      </c>
      <c r="G430" s="8" t="s">
        <v>48</v>
      </c>
      <c r="H430" s="9" t="n">
        <v>5405726.62</v>
      </c>
      <c r="I430" s="9" t="n">
        <v>3087043.42</v>
      </c>
      <c r="J430" s="9" t="n">
        <v>277077.44</v>
      </c>
      <c r="K430" s="9" t="n">
        <v>2041605.76</v>
      </c>
      <c r="L430" s="8" t="n">
        <v>225</v>
      </c>
      <c r="M430" s="8" t="n">
        <v>2948</v>
      </c>
      <c r="N430" s="10" t="n">
        <v>37.77</v>
      </c>
    </row>
    <row r="431" customFormat="false" ht="15" hidden="false" customHeight="false" outlineLevel="0" collapsed="false">
      <c r="A431" s="8" t="s">
        <v>108</v>
      </c>
      <c r="B431" s="8" t="s">
        <v>109</v>
      </c>
      <c r="C431" s="8" t="s">
        <v>107</v>
      </c>
      <c r="D431" s="8" t="s">
        <v>62</v>
      </c>
      <c r="E431" s="8" t="n">
        <v>2022</v>
      </c>
      <c r="F431" s="8" t="s">
        <v>38</v>
      </c>
      <c r="G431" s="8" t="s">
        <v>49</v>
      </c>
      <c r="H431" s="9" t="n">
        <v>5482896.16</v>
      </c>
      <c r="I431" s="9" t="n">
        <v>3282861.58</v>
      </c>
      <c r="J431" s="9" t="n">
        <v>219402.83</v>
      </c>
      <c r="K431" s="9" t="n">
        <v>1980631.75</v>
      </c>
      <c r="L431" s="8" t="n">
        <v>234</v>
      </c>
      <c r="M431" s="8" t="n">
        <v>2643</v>
      </c>
      <c r="N431" s="10" t="n">
        <v>36.12</v>
      </c>
    </row>
    <row r="432" customFormat="false" ht="15" hidden="false" customHeight="false" outlineLevel="0" collapsed="false">
      <c r="A432" s="8" t="s">
        <v>108</v>
      </c>
      <c r="B432" s="8" t="s">
        <v>109</v>
      </c>
      <c r="C432" s="8" t="s">
        <v>107</v>
      </c>
      <c r="D432" s="8" t="s">
        <v>62</v>
      </c>
      <c r="E432" s="8" t="n">
        <v>2022</v>
      </c>
      <c r="F432" s="8" t="s">
        <v>40</v>
      </c>
      <c r="G432" s="8" t="s">
        <v>50</v>
      </c>
      <c r="H432" s="9" t="n">
        <v>4933815.12</v>
      </c>
      <c r="I432" s="9" t="n">
        <v>3247343.38</v>
      </c>
      <c r="J432" s="9" t="n">
        <v>274994.38</v>
      </c>
      <c r="K432" s="9" t="n">
        <v>1411477.36</v>
      </c>
      <c r="L432" s="8" t="n">
        <v>232</v>
      </c>
      <c r="M432" s="8" t="n">
        <v>4518</v>
      </c>
      <c r="N432" s="10" t="n">
        <v>28.61</v>
      </c>
    </row>
    <row r="433" customFormat="false" ht="15" hidden="false" customHeight="false" outlineLevel="0" collapsed="false">
      <c r="A433" s="8" t="s">
        <v>108</v>
      </c>
      <c r="B433" s="8" t="s">
        <v>109</v>
      </c>
      <c r="C433" s="8" t="s">
        <v>107</v>
      </c>
      <c r="D433" s="8" t="s">
        <v>62</v>
      </c>
      <c r="E433" s="8" t="n">
        <v>2022</v>
      </c>
      <c r="F433" s="8" t="s">
        <v>42</v>
      </c>
      <c r="G433" s="8" t="s">
        <v>51</v>
      </c>
      <c r="H433" s="9" t="n">
        <v>5350204.17</v>
      </c>
      <c r="I433" s="9" t="n">
        <v>3527587.84</v>
      </c>
      <c r="J433" s="9" t="n">
        <v>265654.38</v>
      </c>
      <c r="K433" s="9" t="n">
        <v>1556961.95</v>
      </c>
      <c r="L433" s="8" t="n">
        <v>229</v>
      </c>
      <c r="M433" s="8" t="n">
        <v>2223</v>
      </c>
      <c r="N433" s="10" t="n">
        <v>29.1</v>
      </c>
    </row>
    <row r="434" customFormat="false" ht="15" hidden="false" customHeight="false" outlineLevel="0" collapsed="false">
      <c r="A434" s="8" t="s">
        <v>108</v>
      </c>
      <c r="B434" s="8" t="s">
        <v>109</v>
      </c>
      <c r="C434" s="8" t="s">
        <v>107</v>
      </c>
      <c r="D434" s="8" t="s">
        <v>62</v>
      </c>
      <c r="E434" s="8" t="n">
        <v>2023</v>
      </c>
      <c r="F434" s="8" t="s">
        <v>36</v>
      </c>
      <c r="G434" s="8" t="s">
        <v>52</v>
      </c>
      <c r="H434" s="9" t="n">
        <v>5747587.66</v>
      </c>
      <c r="I434" s="9" t="n">
        <v>4288201.09</v>
      </c>
      <c r="J434" s="9" t="n">
        <v>323852.04</v>
      </c>
      <c r="K434" s="9" t="n">
        <v>1135534.53</v>
      </c>
      <c r="L434" s="8" t="n">
        <v>228</v>
      </c>
      <c r="M434" s="8" t="n">
        <v>2736</v>
      </c>
      <c r="N434" s="10" t="n">
        <v>19.76</v>
      </c>
    </row>
    <row r="435" customFormat="false" ht="15" hidden="false" customHeight="false" outlineLevel="0" collapsed="false">
      <c r="A435" s="8" t="s">
        <v>108</v>
      </c>
      <c r="B435" s="8" t="s">
        <v>109</v>
      </c>
      <c r="C435" s="8" t="s">
        <v>107</v>
      </c>
      <c r="D435" s="8" t="s">
        <v>62</v>
      </c>
      <c r="E435" s="8" t="n">
        <v>2023</v>
      </c>
      <c r="F435" s="8" t="s">
        <v>38</v>
      </c>
      <c r="G435" s="8" t="s">
        <v>53</v>
      </c>
      <c r="H435" s="9" t="n">
        <v>6005487.96</v>
      </c>
      <c r="I435" s="9" t="n">
        <v>3912941.82</v>
      </c>
      <c r="J435" s="9" t="n">
        <v>253785.81</v>
      </c>
      <c r="K435" s="9" t="n">
        <v>1838760.33</v>
      </c>
      <c r="L435" s="8" t="n">
        <v>225</v>
      </c>
      <c r="M435" s="8" t="n">
        <v>2796</v>
      </c>
      <c r="N435" s="10" t="n">
        <v>30.62</v>
      </c>
    </row>
    <row r="436" customFormat="false" ht="15" hidden="false" customHeight="false" outlineLevel="0" collapsed="false">
      <c r="A436" s="8" t="s">
        <v>108</v>
      </c>
      <c r="B436" s="8" t="s">
        <v>109</v>
      </c>
      <c r="C436" s="8" t="s">
        <v>107</v>
      </c>
      <c r="D436" s="8" t="s">
        <v>62</v>
      </c>
      <c r="E436" s="8" t="n">
        <v>2023</v>
      </c>
      <c r="F436" s="8" t="s">
        <v>40</v>
      </c>
      <c r="G436" s="8" t="s">
        <v>54</v>
      </c>
      <c r="H436" s="9" t="n">
        <v>5313245.31</v>
      </c>
      <c r="I436" s="9" t="n">
        <v>3158087.24</v>
      </c>
      <c r="J436" s="9" t="n">
        <v>441728.26</v>
      </c>
      <c r="K436" s="9" t="n">
        <v>1713429.81</v>
      </c>
      <c r="L436" s="8" t="n">
        <v>222</v>
      </c>
      <c r="M436" s="8" t="n">
        <v>2600</v>
      </c>
      <c r="N436" s="10" t="n">
        <v>32.25</v>
      </c>
    </row>
    <row r="437" customFormat="false" ht="15" hidden="false" customHeight="false" outlineLevel="0" collapsed="false">
      <c r="A437" s="8" t="s">
        <v>108</v>
      </c>
      <c r="B437" s="8" t="s">
        <v>109</v>
      </c>
      <c r="C437" s="8" t="s">
        <v>107</v>
      </c>
      <c r="D437" s="8" t="s">
        <v>62</v>
      </c>
      <c r="E437" s="8" t="n">
        <v>2023</v>
      </c>
      <c r="F437" s="8" t="s">
        <v>42</v>
      </c>
      <c r="G437" s="8" t="s">
        <v>55</v>
      </c>
      <c r="H437" s="9" t="n">
        <v>5224814.71</v>
      </c>
      <c r="I437" s="9" t="n">
        <v>3747360.11</v>
      </c>
      <c r="J437" s="9" t="n">
        <v>324666.83</v>
      </c>
      <c r="K437" s="9" t="n">
        <v>1152787.77</v>
      </c>
      <c r="L437" s="8" t="n">
        <v>221</v>
      </c>
      <c r="M437" s="8" t="n">
        <v>3215</v>
      </c>
      <c r="N437" s="10" t="n">
        <v>22.06</v>
      </c>
    </row>
    <row r="438" customFormat="false" ht="15" hidden="false" customHeight="false" outlineLevel="0" collapsed="false">
      <c r="A438" s="8" t="s">
        <v>108</v>
      </c>
      <c r="B438" s="8" t="s">
        <v>109</v>
      </c>
      <c r="C438" s="8" t="s">
        <v>107</v>
      </c>
      <c r="D438" s="8" t="s">
        <v>62</v>
      </c>
      <c r="E438" s="8" t="n">
        <v>2024</v>
      </c>
      <c r="F438" s="8" t="s">
        <v>36</v>
      </c>
      <c r="G438" s="8" t="s">
        <v>56</v>
      </c>
      <c r="H438" s="9" t="n">
        <v>5667855.8</v>
      </c>
      <c r="I438" s="9" t="n">
        <v>4047527.78</v>
      </c>
      <c r="J438" s="9" t="n">
        <v>343663.11</v>
      </c>
      <c r="K438" s="9" t="n">
        <v>1276664.91</v>
      </c>
      <c r="L438" s="8" t="n">
        <v>223</v>
      </c>
      <c r="M438" s="8" t="n">
        <v>6889</v>
      </c>
      <c r="N438" s="10" t="n">
        <v>22.52</v>
      </c>
    </row>
    <row r="439" customFormat="false" ht="15" hidden="false" customHeight="false" outlineLevel="0" collapsed="false">
      <c r="A439" s="8" t="s">
        <v>108</v>
      </c>
      <c r="B439" s="8" t="s">
        <v>109</v>
      </c>
      <c r="C439" s="8" t="s">
        <v>107</v>
      </c>
      <c r="D439" s="8" t="s">
        <v>62</v>
      </c>
      <c r="E439" s="8" t="n">
        <v>2024</v>
      </c>
      <c r="F439" s="8" t="s">
        <v>38</v>
      </c>
      <c r="G439" s="8" t="s">
        <v>57</v>
      </c>
      <c r="H439" s="9" t="n">
        <v>5289964.66</v>
      </c>
      <c r="I439" s="9" t="n">
        <v>3759617.73</v>
      </c>
      <c r="J439" s="9" t="n">
        <v>281794.12</v>
      </c>
      <c r="K439" s="9" t="n">
        <v>1248552.81</v>
      </c>
      <c r="L439" s="8" t="n">
        <v>225</v>
      </c>
      <c r="M439" s="8" t="n">
        <v>5788</v>
      </c>
      <c r="N439" s="10" t="n">
        <v>23.6</v>
      </c>
    </row>
    <row r="440" customFormat="false" ht="15" hidden="false" customHeight="false" outlineLevel="0" collapsed="false">
      <c r="A440" s="8" t="s">
        <v>108</v>
      </c>
      <c r="B440" s="8" t="s">
        <v>109</v>
      </c>
      <c r="C440" s="8" t="s">
        <v>107</v>
      </c>
      <c r="D440" s="8" t="s">
        <v>62</v>
      </c>
      <c r="E440" s="8" t="n">
        <v>2024</v>
      </c>
      <c r="F440" s="8" t="s">
        <v>40</v>
      </c>
      <c r="G440" s="8" t="s">
        <v>58</v>
      </c>
      <c r="H440" s="9" t="n">
        <v>5245270.87</v>
      </c>
      <c r="I440" s="9" t="n">
        <v>3774421.26</v>
      </c>
      <c r="J440" s="9" t="n">
        <v>391217.96</v>
      </c>
      <c r="K440" s="9" t="n">
        <v>1079631.65</v>
      </c>
      <c r="L440" s="8" t="n">
        <v>226</v>
      </c>
      <c r="M440" s="8" t="n">
        <v>3349</v>
      </c>
      <c r="N440" s="10" t="n">
        <v>20.58</v>
      </c>
    </row>
    <row r="441" customFormat="false" ht="15" hidden="false" customHeight="false" outlineLevel="0" collapsed="false">
      <c r="A441" s="8" t="s">
        <v>108</v>
      </c>
      <c r="B441" s="8" t="s">
        <v>109</v>
      </c>
      <c r="C441" s="8" t="s">
        <v>107</v>
      </c>
      <c r="D441" s="8" t="s">
        <v>62</v>
      </c>
      <c r="E441" s="8" t="n">
        <v>2024</v>
      </c>
      <c r="F441" s="8" t="s">
        <v>42</v>
      </c>
      <c r="G441" s="8" t="s">
        <v>59</v>
      </c>
      <c r="H441" s="9" t="n">
        <v>5193452.65</v>
      </c>
      <c r="I441" s="9" t="n">
        <v>3306642.46</v>
      </c>
      <c r="J441" s="9" t="n">
        <v>406277.95</v>
      </c>
      <c r="K441" s="9" t="n">
        <v>1480532.24</v>
      </c>
      <c r="L441" s="8" t="n">
        <v>225</v>
      </c>
      <c r="M441" s="8" t="n">
        <v>3720</v>
      </c>
      <c r="N441" s="10" t="n">
        <v>28.51</v>
      </c>
    </row>
    <row r="442" customFormat="false" ht="15" hidden="false" customHeight="false" outlineLevel="0" collapsed="false">
      <c r="A442" s="8" t="s">
        <v>110</v>
      </c>
      <c r="B442" s="8" t="s">
        <v>111</v>
      </c>
      <c r="C442" s="8" t="s">
        <v>107</v>
      </c>
      <c r="D442" s="8" t="s">
        <v>35</v>
      </c>
      <c r="E442" s="8" t="n">
        <v>2020</v>
      </c>
      <c r="F442" s="8" t="s">
        <v>36</v>
      </c>
      <c r="G442" s="8" t="s">
        <v>37</v>
      </c>
      <c r="H442" s="9" t="n">
        <v>4452965.73</v>
      </c>
      <c r="I442" s="9" t="n">
        <v>3276749.03</v>
      </c>
      <c r="J442" s="9" t="n">
        <v>227086.54</v>
      </c>
      <c r="K442" s="9" t="n">
        <v>949130.160000001</v>
      </c>
      <c r="L442" s="8" t="n">
        <v>203</v>
      </c>
      <c r="M442" s="8" t="n">
        <v>1995</v>
      </c>
      <c r="N442" s="10" t="n">
        <v>21.31</v>
      </c>
    </row>
    <row r="443" customFormat="false" ht="15" hidden="false" customHeight="false" outlineLevel="0" collapsed="false">
      <c r="A443" s="8" t="s">
        <v>110</v>
      </c>
      <c r="B443" s="8" t="s">
        <v>111</v>
      </c>
      <c r="C443" s="8" t="s">
        <v>107</v>
      </c>
      <c r="D443" s="8" t="s">
        <v>35</v>
      </c>
      <c r="E443" s="8" t="n">
        <v>2020</v>
      </c>
      <c r="F443" s="8" t="s">
        <v>38</v>
      </c>
      <c r="G443" s="8" t="s">
        <v>39</v>
      </c>
      <c r="H443" s="9" t="n">
        <v>4833054.35</v>
      </c>
      <c r="I443" s="9" t="n">
        <v>3435813.16</v>
      </c>
      <c r="J443" s="9" t="n">
        <v>146532.45</v>
      </c>
      <c r="K443" s="9" t="n">
        <v>1250708.74</v>
      </c>
      <c r="L443" s="8" t="n">
        <v>200</v>
      </c>
      <c r="M443" s="8" t="n">
        <v>5293</v>
      </c>
      <c r="N443" s="10" t="n">
        <v>25.88</v>
      </c>
    </row>
    <row r="444" customFormat="false" ht="15" hidden="false" customHeight="false" outlineLevel="0" collapsed="false">
      <c r="A444" s="8" t="s">
        <v>110</v>
      </c>
      <c r="B444" s="8" t="s">
        <v>111</v>
      </c>
      <c r="C444" s="8" t="s">
        <v>107</v>
      </c>
      <c r="D444" s="8" t="s">
        <v>35</v>
      </c>
      <c r="E444" s="8" t="n">
        <v>2020</v>
      </c>
      <c r="F444" s="8" t="s">
        <v>40</v>
      </c>
      <c r="G444" s="8" t="s">
        <v>41</v>
      </c>
      <c r="H444" s="9" t="n">
        <v>4898611.17</v>
      </c>
      <c r="I444" s="9" t="n">
        <v>3480955.13</v>
      </c>
      <c r="J444" s="9" t="n">
        <v>367909.31</v>
      </c>
      <c r="K444" s="9" t="n">
        <v>1049746.73</v>
      </c>
      <c r="L444" s="8" t="n">
        <v>200</v>
      </c>
      <c r="M444" s="8" t="n">
        <v>2523</v>
      </c>
      <c r="N444" s="10" t="n">
        <v>21.43</v>
      </c>
    </row>
    <row r="445" customFormat="false" ht="15" hidden="false" customHeight="false" outlineLevel="0" collapsed="false">
      <c r="A445" s="8" t="s">
        <v>110</v>
      </c>
      <c r="B445" s="8" t="s">
        <v>111</v>
      </c>
      <c r="C445" s="8" t="s">
        <v>107</v>
      </c>
      <c r="D445" s="8" t="s">
        <v>35</v>
      </c>
      <c r="E445" s="8" t="n">
        <v>2020</v>
      </c>
      <c r="F445" s="8" t="s">
        <v>42</v>
      </c>
      <c r="G445" s="8" t="s">
        <v>43</v>
      </c>
      <c r="H445" s="9" t="n">
        <v>4235188.39</v>
      </c>
      <c r="I445" s="9" t="n">
        <v>2473249.23</v>
      </c>
      <c r="J445" s="9" t="n">
        <v>315670.58</v>
      </c>
      <c r="K445" s="9" t="n">
        <v>1446268.58</v>
      </c>
      <c r="L445" s="8" t="n">
        <v>197</v>
      </c>
      <c r="M445" s="8" t="n">
        <v>2041</v>
      </c>
      <c r="N445" s="10" t="n">
        <v>34.15</v>
      </c>
    </row>
    <row r="446" customFormat="false" ht="15" hidden="false" customHeight="false" outlineLevel="0" collapsed="false">
      <c r="A446" s="8" t="s">
        <v>110</v>
      </c>
      <c r="B446" s="8" t="s">
        <v>111</v>
      </c>
      <c r="C446" s="8" t="s">
        <v>107</v>
      </c>
      <c r="D446" s="8" t="s">
        <v>35</v>
      </c>
      <c r="E446" s="8" t="n">
        <v>2021</v>
      </c>
      <c r="F446" s="8" t="s">
        <v>36</v>
      </c>
      <c r="G446" s="8" t="s">
        <v>44</v>
      </c>
      <c r="H446" s="9" t="n">
        <v>6088309.84</v>
      </c>
      <c r="I446" s="9" t="n">
        <v>4291409.34</v>
      </c>
      <c r="J446" s="9" t="n">
        <v>340883.17</v>
      </c>
      <c r="K446" s="9" t="n">
        <v>1456017.33</v>
      </c>
      <c r="L446" s="8" t="n">
        <v>197</v>
      </c>
      <c r="M446" s="8" t="n">
        <v>2914</v>
      </c>
      <c r="N446" s="10" t="n">
        <v>23.91</v>
      </c>
    </row>
    <row r="447" customFormat="false" ht="15" hidden="false" customHeight="false" outlineLevel="0" collapsed="false">
      <c r="A447" s="8" t="s">
        <v>110</v>
      </c>
      <c r="B447" s="8" t="s">
        <v>111</v>
      </c>
      <c r="C447" s="8" t="s">
        <v>107</v>
      </c>
      <c r="D447" s="8" t="s">
        <v>35</v>
      </c>
      <c r="E447" s="8" t="n">
        <v>2021</v>
      </c>
      <c r="F447" s="8" t="s">
        <v>38</v>
      </c>
      <c r="G447" s="8" t="s">
        <v>45</v>
      </c>
      <c r="H447" s="9" t="n">
        <v>6758827.94</v>
      </c>
      <c r="I447" s="9" t="n">
        <v>4685756.33</v>
      </c>
      <c r="J447" s="9" t="n">
        <v>394953.96</v>
      </c>
      <c r="K447" s="9" t="n">
        <v>1678117.65</v>
      </c>
      <c r="L447" s="8" t="n">
        <v>198</v>
      </c>
      <c r="M447" s="8" t="n">
        <v>5068</v>
      </c>
      <c r="N447" s="10" t="n">
        <v>24.83</v>
      </c>
    </row>
    <row r="448" customFormat="false" ht="15" hidden="false" customHeight="false" outlineLevel="0" collapsed="false">
      <c r="A448" s="8" t="s">
        <v>110</v>
      </c>
      <c r="B448" s="8" t="s">
        <v>111</v>
      </c>
      <c r="C448" s="8" t="s">
        <v>107</v>
      </c>
      <c r="D448" s="8" t="s">
        <v>35</v>
      </c>
      <c r="E448" s="8" t="n">
        <v>2021</v>
      </c>
      <c r="F448" s="8" t="s">
        <v>40</v>
      </c>
      <c r="G448" s="8" t="s">
        <v>46</v>
      </c>
      <c r="H448" s="9" t="n">
        <v>5819427.26</v>
      </c>
      <c r="I448" s="9" t="n">
        <v>3790844.34</v>
      </c>
      <c r="J448" s="9" t="n">
        <v>491568.83</v>
      </c>
      <c r="K448" s="9" t="n">
        <v>1537014.09</v>
      </c>
      <c r="L448" s="8" t="n">
        <v>196</v>
      </c>
      <c r="M448" s="8" t="n">
        <v>2648</v>
      </c>
      <c r="N448" s="10" t="n">
        <v>26.41</v>
      </c>
    </row>
    <row r="449" customFormat="false" ht="15" hidden="false" customHeight="false" outlineLevel="0" collapsed="false">
      <c r="A449" s="8" t="s">
        <v>110</v>
      </c>
      <c r="B449" s="8" t="s">
        <v>111</v>
      </c>
      <c r="C449" s="8" t="s">
        <v>107</v>
      </c>
      <c r="D449" s="8" t="s">
        <v>35</v>
      </c>
      <c r="E449" s="8" t="n">
        <v>2021</v>
      </c>
      <c r="F449" s="8" t="s">
        <v>42</v>
      </c>
      <c r="G449" s="8" t="s">
        <v>47</v>
      </c>
      <c r="H449" s="9" t="n">
        <v>5883980.3</v>
      </c>
      <c r="I449" s="9" t="n">
        <v>3743490.49</v>
      </c>
      <c r="J449" s="9" t="n">
        <v>514906.35</v>
      </c>
      <c r="K449" s="9" t="n">
        <v>1625583.46</v>
      </c>
      <c r="L449" s="8" t="n">
        <v>195</v>
      </c>
      <c r="M449" s="8" t="n">
        <v>3125</v>
      </c>
      <c r="N449" s="10" t="n">
        <v>27.63</v>
      </c>
    </row>
    <row r="450" customFormat="false" ht="15" hidden="false" customHeight="false" outlineLevel="0" collapsed="false">
      <c r="A450" s="8" t="s">
        <v>110</v>
      </c>
      <c r="B450" s="8" t="s">
        <v>111</v>
      </c>
      <c r="C450" s="8" t="s">
        <v>107</v>
      </c>
      <c r="D450" s="8" t="s">
        <v>35</v>
      </c>
      <c r="E450" s="8" t="n">
        <v>2022</v>
      </c>
      <c r="F450" s="8" t="s">
        <v>36</v>
      </c>
      <c r="G450" s="8" t="s">
        <v>48</v>
      </c>
      <c r="H450" s="9" t="n">
        <v>5535269.3</v>
      </c>
      <c r="I450" s="9" t="n">
        <v>3255764.13</v>
      </c>
      <c r="J450" s="9" t="n">
        <v>255567.32</v>
      </c>
      <c r="K450" s="9" t="n">
        <v>2023937.85</v>
      </c>
      <c r="L450" s="8" t="n">
        <v>197</v>
      </c>
      <c r="M450" s="8" t="n">
        <v>3054</v>
      </c>
      <c r="N450" s="10" t="n">
        <v>36.56</v>
      </c>
    </row>
    <row r="451" customFormat="false" ht="15" hidden="false" customHeight="false" outlineLevel="0" collapsed="false">
      <c r="A451" s="8" t="s">
        <v>110</v>
      </c>
      <c r="B451" s="8" t="s">
        <v>111</v>
      </c>
      <c r="C451" s="8" t="s">
        <v>107</v>
      </c>
      <c r="D451" s="8" t="s">
        <v>35</v>
      </c>
      <c r="E451" s="8" t="n">
        <v>2022</v>
      </c>
      <c r="F451" s="8" t="s">
        <v>38</v>
      </c>
      <c r="G451" s="8" t="s">
        <v>49</v>
      </c>
      <c r="H451" s="9" t="n">
        <v>6677952.41</v>
      </c>
      <c r="I451" s="9" t="n">
        <v>4710347.8</v>
      </c>
      <c r="J451" s="9" t="n">
        <v>225637.44</v>
      </c>
      <c r="K451" s="9" t="n">
        <v>1741967.17</v>
      </c>
      <c r="L451" s="8" t="n">
        <v>197</v>
      </c>
      <c r="M451" s="8" t="n">
        <v>2701</v>
      </c>
      <c r="N451" s="10" t="n">
        <v>26.09</v>
      </c>
    </row>
    <row r="452" customFormat="false" ht="15" hidden="false" customHeight="false" outlineLevel="0" collapsed="false">
      <c r="A452" s="8" t="s">
        <v>110</v>
      </c>
      <c r="B452" s="8" t="s">
        <v>111</v>
      </c>
      <c r="C452" s="8" t="s">
        <v>107</v>
      </c>
      <c r="D452" s="8" t="s">
        <v>35</v>
      </c>
      <c r="E452" s="8" t="n">
        <v>2022</v>
      </c>
      <c r="F452" s="8" t="s">
        <v>40</v>
      </c>
      <c r="G452" s="8" t="s">
        <v>50</v>
      </c>
      <c r="H452" s="9" t="n">
        <v>6210161.97</v>
      </c>
      <c r="I452" s="9" t="n">
        <v>3685396.88</v>
      </c>
      <c r="J452" s="9" t="n">
        <v>242422.9</v>
      </c>
      <c r="K452" s="9" t="n">
        <v>2282342.19</v>
      </c>
      <c r="L452" s="8" t="n">
        <v>196</v>
      </c>
      <c r="M452" s="8" t="n">
        <v>4123</v>
      </c>
      <c r="N452" s="10" t="n">
        <v>36.75</v>
      </c>
    </row>
    <row r="453" customFormat="false" ht="15" hidden="false" customHeight="false" outlineLevel="0" collapsed="false">
      <c r="A453" s="8" t="s">
        <v>110</v>
      </c>
      <c r="B453" s="8" t="s">
        <v>111</v>
      </c>
      <c r="C453" s="8" t="s">
        <v>107</v>
      </c>
      <c r="D453" s="8" t="s">
        <v>35</v>
      </c>
      <c r="E453" s="8" t="n">
        <v>2022</v>
      </c>
      <c r="F453" s="8" t="s">
        <v>42</v>
      </c>
      <c r="G453" s="8" t="s">
        <v>51</v>
      </c>
      <c r="H453" s="9" t="n">
        <v>5451819.26</v>
      </c>
      <c r="I453" s="9" t="n">
        <v>3685473.3</v>
      </c>
      <c r="J453" s="9" t="n">
        <v>433199.45</v>
      </c>
      <c r="K453" s="9" t="n">
        <v>1333146.51</v>
      </c>
      <c r="L453" s="8" t="n">
        <v>198</v>
      </c>
      <c r="M453" s="8" t="n">
        <v>3564</v>
      </c>
      <c r="N453" s="10" t="n">
        <v>24.45</v>
      </c>
    </row>
    <row r="454" customFormat="false" ht="15" hidden="false" customHeight="false" outlineLevel="0" collapsed="false">
      <c r="A454" s="8" t="s">
        <v>110</v>
      </c>
      <c r="B454" s="8" t="s">
        <v>111</v>
      </c>
      <c r="C454" s="8" t="s">
        <v>107</v>
      </c>
      <c r="D454" s="8" t="s">
        <v>35</v>
      </c>
      <c r="E454" s="8" t="n">
        <v>2023</v>
      </c>
      <c r="F454" s="8" t="s">
        <v>36</v>
      </c>
      <c r="G454" s="8" t="s">
        <v>52</v>
      </c>
      <c r="H454" s="9" t="n">
        <v>5919622.69</v>
      </c>
      <c r="I454" s="9" t="n">
        <v>4435167.99</v>
      </c>
      <c r="J454" s="9" t="n">
        <v>497589.59</v>
      </c>
      <c r="K454" s="9" t="n">
        <v>986865.11</v>
      </c>
      <c r="L454" s="8" t="n">
        <v>200</v>
      </c>
      <c r="M454" s="8" t="n">
        <v>4839</v>
      </c>
      <c r="N454" s="10" t="n">
        <v>16.67</v>
      </c>
    </row>
    <row r="455" customFormat="false" ht="15" hidden="false" customHeight="false" outlineLevel="0" collapsed="false">
      <c r="A455" s="8" t="s">
        <v>110</v>
      </c>
      <c r="B455" s="8" t="s">
        <v>111</v>
      </c>
      <c r="C455" s="8" t="s">
        <v>107</v>
      </c>
      <c r="D455" s="8" t="s">
        <v>35</v>
      </c>
      <c r="E455" s="8" t="n">
        <v>2023</v>
      </c>
      <c r="F455" s="8" t="s">
        <v>38</v>
      </c>
      <c r="G455" s="8" t="s">
        <v>53</v>
      </c>
      <c r="H455" s="9" t="n">
        <v>6619529.91</v>
      </c>
      <c r="I455" s="9" t="n">
        <v>4921307.5</v>
      </c>
      <c r="J455" s="9" t="n">
        <v>479321.96</v>
      </c>
      <c r="K455" s="9" t="n">
        <v>1218900.45</v>
      </c>
      <c r="L455" s="8" t="n">
        <v>201</v>
      </c>
      <c r="M455" s="8" t="n">
        <v>5026</v>
      </c>
      <c r="N455" s="10" t="n">
        <v>18.41</v>
      </c>
    </row>
    <row r="456" customFormat="false" ht="15" hidden="false" customHeight="false" outlineLevel="0" collapsed="false">
      <c r="A456" s="8" t="s">
        <v>110</v>
      </c>
      <c r="B456" s="8" t="s">
        <v>111</v>
      </c>
      <c r="C456" s="8" t="s">
        <v>107</v>
      </c>
      <c r="D456" s="8" t="s">
        <v>35</v>
      </c>
      <c r="E456" s="8" t="n">
        <v>2023</v>
      </c>
      <c r="F456" s="8" t="s">
        <v>40</v>
      </c>
      <c r="G456" s="8" t="s">
        <v>54</v>
      </c>
      <c r="H456" s="9" t="n">
        <v>6416306.74</v>
      </c>
      <c r="I456" s="9" t="n">
        <v>3930344.61</v>
      </c>
      <c r="J456" s="9" t="n">
        <v>410456.54</v>
      </c>
      <c r="K456" s="9" t="n">
        <v>2075505.59</v>
      </c>
      <c r="L456" s="8" t="n">
        <v>203</v>
      </c>
      <c r="M456" s="8" t="n">
        <v>7782</v>
      </c>
      <c r="N456" s="10" t="n">
        <v>32.35</v>
      </c>
    </row>
    <row r="457" customFormat="false" ht="15" hidden="false" customHeight="false" outlineLevel="0" collapsed="false">
      <c r="A457" s="8" t="s">
        <v>110</v>
      </c>
      <c r="B457" s="8" t="s">
        <v>111</v>
      </c>
      <c r="C457" s="8" t="s">
        <v>107</v>
      </c>
      <c r="D457" s="8" t="s">
        <v>35</v>
      </c>
      <c r="E457" s="8" t="n">
        <v>2023</v>
      </c>
      <c r="F457" s="8" t="s">
        <v>42</v>
      </c>
      <c r="G457" s="8" t="s">
        <v>55</v>
      </c>
      <c r="H457" s="9" t="n">
        <v>5771894.98</v>
      </c>
      <c r="I457" s="9" t="n">
        <v>3989716.78</v>
      </c>
      <c r="J457" s="9" t="n">
        <v>490589.13</v>
      </c>
      <c r="K457" s="9" t="n">
        <v>1291589.07</v>
      </c>
      <c r="L457" s="8" t="n">
        <v>201</v>
      </c>
      <c r="M457" s="8" t="n">
        <v>3456</v>
      </c>
      <c r="N457" s="10" t="n">
        <v>22.38</v>
      </c>
    </row>
    <row r="458" customFormat="false" ht="15" hidden="false" customHeight="false" outlineLevel="0" collapsed="false">
      <c r="A458" s="8" t="s">
        <v>110</v>
      </c>
      <c r="B458" s="8" t="s">
        <v>111</v>
      </c>
      <c r="C458" s="8" t="s">
        <v>107</v>
      </c>
      <c r="D458" s="8" t="s">
        <v>35</v>
      </c>
      <c r="E458" s="8" t="n">
        <v>2024</v>
      </c>
      <c r="F458" s="8" t="s">
        <v>36</v>
      </c>
      <c r="G458" s="8" t="s">
        <v>56</v>
      </c>
      <c r="H458" s="9" t="n">
        <v>6690827.59</v>
      </c>
      <c r="I458" s="9" t="n">
        <v>4465373.37</v>
      </c>
      <c r="J458" s="9" t="n">
        <v>547751.26</v>
      </c>
      <c r="K458" s="9" t="n">
        <v>1677702.96</v>
      </c>
      <c r="L458" s="8" t="n">
        <v>200</v>
      </c>
      <c r="M458" s="8" t="n">
        <v>3206</v>
      </c>
      <c r="N458" s="10" t="n">
        <v>25.07</v>
      </c>
    </row>
    <row r="459" customFormat="false" ht="15" hidden="false" customHeight="false" outlineLevel="0" collapsed="false">
      <c r="A459" s="8" t="s">
        <v>110</v>
      </c>
      <c r="B459" s="8" t="s">
        <v>111</v>
      </c>
      <c r="C459" s="8" t="s">
        <v>107</v>
      </c>
      <c r="D459" s="8" t="s">
        <v>35</v>
      </c>
      <c r="E459" s="8" t="n">
        <v>2024</v>
      </c>
      <c r="F459" s="8" t="s">
        <v>38</v>
      </c>
      <c r="G459" s="8" t="s">
        <v>57</v>
      </c>
      <c r="H459" s="9" t="n">
        <v>6589794.47</v>
      </c>
      <c r="I459" s="9" t="n">
        <v>3806839.25</v>
      </c>
      <c r="J459" s="9" t="n">
        <v>465025.48</v>
      </c>
      <c r="K459" s="9" t="n">
        <v>2317929.74</v>
      </c>
      <c r="L459" s="8" t="n">
        <v>199</v>
      </c>
      <c r="M459" s="8" t="n">
        <v>2894</v>
      </c>
      <c r="N459" s="10" t="n">
        <v>35.17</v>
      </c>
    </row>
    <row r="460" customFormat="false" ht="15" hidden="false" customHeight="false" outlineLevel="0" collapsed="false">
      <c r="A460" s="8" t="s">
        <v>110</v>
      </c>
      <c r="B460" s="8" t="s">
        <v>111</v>
      </c>
      <c r="C460" s="8" t="s">
        <v>107</v>
      </c>
      <c r="D460" s="8" t="s">
        <v>35</v>
      </c>
      <c r="E460" s="8" t="n">
        <v>2024</v>
      </c>
      <c r="F460" s="8" t="s">
        <v>40</v>
      </c>
      <c r="G460" s="8" t="s">
        <v>58</v>
      </c>
      <c r="H460" s="9" t="n">
        <v>6046537.83</v>
      </c>
      <c r="I460" s="9" t="n">
        <v>3581528.7</v>
      </c>
      <c r="J460" s="9" t="n">
        <v>372833.44</v>
      </c>
      <c r="K460" s="9" t="n">
        <v>2092175.69</v>
      </c>
      <c r="L460" s="8" t="n">
        <v>196</v>
      </c>
      <c r="M460" s="8" t="n">
        <v>2999</v>
      </c>
      <c r="N460" s="10" t="n">
        <v>34.6</v>
      </c>
    </row>
    <row r="461" customFormat="false" ht="15" hidden="false" customHeight="false" outlineLevel="0" collapsed="false">
      <c r="A461" s="8" t="s">
        <v>110</v>
      </c>
      <c r="B461" s="8" t="s">
        <v>111</v>
      </c>
      <c r="C461" s="8" t="s">
        <v>107</v>
      </c>
      <c r="D461" s="8" t="s">
        <v>35</v>
      </c>
      <c r="E461" s="8" t="n">
        <v>2024</v>
      </c>
      <c r="F461" s="8" t="s">
        <v>42</v>
      </c>
      <c r="G461" s="8" t="s">
        <v>59</v>
      </c>
      <c r="H461" s="9" t="n">
        <v>5789663.64</v>
      </c>
      <c r="I461" s="9" t="n">
        <v>4283425.55</v>
      </c>
      <c r="J461" s="9" t="n">
        <v>348770.65</v>
      </c>
      <c r="K461" s="9" t="n">
        <v>1157467.44</v>
      </c>
      <c r="L461" s="8" t="n">
        <v>199</v>
      </c>
      <c r="M461" s="8" t="n">
        <v>2552</v>
      </c>
      <c r="N461" s="10" t="n">
        <v>19.99</v>
      </c>
    </row>
    <row r="462" customFormat="false" ht="15" hidden="false" customHeight="false" outlineLevel="0" collapsed="false">
      <c r="A462" s="8" t="s">
        <v>112</v>
      </c>
      <c r="B462" s="8" t="s">
        <v>113</v>
      </c>
      <c r="C462" s="8" t="s">
        <v>107</v>
      </c>
      <c r="D462" s="8" t="s">
        <v>102</v>
      </c>
      <c r="E462" s="8" t="n">
        <v>2020</v>
      </c>
      <c r="F462" s="8" t="s">
        <v>36</v>
      </c>
      <c r="G462" s="8" t="s">
        <v>37</v>
      </c>
      <c r="H462" s="9" t="n">
        <v>5280457.71</v>
      </c>
      <c r="I462" s="9" t="n">
        <v>2977967.62</v>
      </c>
      <c r="J462" s="9" t="n">
        <v>467082.14</v>
      </c>
      <c r="K462" s="9" t="n">
        <v>1835407.95</v>
      </c>
      <c r="L462" s="8" t="n">
        <v>323</v>
      </c>
      <c r="M462" s="8" t="n">
        <v>2425</v>
      </c>
      <c r="N462" s="10" t="n">
        <v>34.76</v>
      </c>
    </row>
    <row r="463" customFormat="false" ht="15" hidden="false" customHeight="false" outlineLevel="0" collapsed="false">
      <c r="A463" s="8" t="s">
        <v>112</v>
      </c>
      <c r="B463" s="8" t="s">
        <v>113</v>
      </c>
      <c r="C463" s="8" t="s">
        <v>107</v>
      </c>
      <c r="D463" s="8" t="s">
        <v>102</v>
      </c>
      <c r="E463" s="8" t="n">
        <v>2020</v>
      </c>
      <c r="F463" s="8" t="s">
        <v>38</v>
      </c>
      <c r="G463" s="8" t="s">
        <v>39</v>
      </c>
      <c r="H463" s="9" t="n">
        <v>5773173.22</v>
      </c>
      <c r="I463" s="9" t="n">
        <v>3989423.36</v>
      </c>
      <c r="J463" s="9" t="n">
        <v>235322.4</v>
      </c>
      <c r="K463" s="9" t="n">
        <v>1548427.46</v>
      </c>
      <c r="L463" s="8" t="n">
        <v>325</v>
      </c>
      <c r="M463" s="8" t="n">
        <v>2596</v>
      </c>
      <c r="N463" s="10" t="n">
        <v>26.82</v>
      </c>
    </row>
    <row r="464" customFormat="false" ht="15" hidden="false" customHeight="false" outlineLevel="0" collapsed="false">
      <c r="A464" s="8" t="s">
        <v>112</v>
      </c>
      <c r="B464" s="8" t="s">
        <v>113</v>
      </c>
      <c r="C464" s="8" t="s">
        <v>107</v>
      </c>
      <c r="D464" s="8" t="s">
        <v>102</v>
      </c>
      <c r="E464" s="8" t="n">
        <v>2020</v>
      </c>
      <c r="F464" s="8" t="s">
        <v>40</v>
      </c>
      <c r="G464" s="8" t="s">
        <v>41</v>
      </c>
      <c r="H464" s="9" t="n">
        <v>5309953.44</v>
      </c>
      <c r="I464" s="9" t="n">
        <v>3102535.89</v>
      </c>
      <c r="J464" s="9" t="n">
        <v>167252.77</v>
      </c>
      <c r="K464" s="9" t="n">
        <v>2040164.78</v>
      </c>
      <c r="L464" s="8" t="n">
        <v>327</v>
      </c>
      <c r="M464" s="8" t="n">
        <v>2701</v>
      </c>
      <c r="N464" s="10" t="n">
        <v>38.42</v>
      </c>
    </row>
    <row r="465" customFormat="false" ht="15" hidden="false" customHeight="false" outlineLevel="0" collapsed="false">
      <c r="A465" s="8" t="s">
        <v>112</v>
      </c>
      <c r="B465" s="8" t="s">
        <v>113</v>
      </c>
      <c r="C465" s="8" t="s">
        <v>107</v>
      </c>
      <c r="D465" s="8" t="s">
        <v>102</v>
      </c>
      <c r="E465" s="8" t="n">
        <v>2020</v>
      </c>
      <c r="F465" s="8" t="s">
        <v>42</v>
      </c>
      <c r="G465" s="8" t="s">
        <v>43</v>
      </c>
      <c r="H465" s="9" t="n">
        <v>4358459.54</v>
      </c>
      <c r="I465" s="9" t="n">
        <v>2822970.44</v>
      </c>
      <c r="J465" s="9" t="n">
        <v>270904.87</v>
      </c>
      <c r="K465" s="9" t="n">
        <v>1264584.23</v>
      </c>
      <c r="L465" s="8" t="n">
        <v>329</v>
      </c>
      <c r="M465" s="8" t="n">
        <v>2457</v>
      </c>
      <c r="N465" s="10" t="n">
        <v>29.01</v>
      </c>
    </row>
    <row r="466" customFormat="false" ht="15" hidden="false" customHeight="false" outlineLevel="0" collapsed="false">
      <c r="A466" s="8" t="s">
        <v>112</v>
      </c>
      <c r="B466" s="8" t="s">
        <v>113</v>
      </c>
      <c r="C466" s="8" t="s">
        <v>107</v>
      </c>
      <c r="D466" s="8" t="s">
        <v>102</v>
      </c>
      <c r="E466" s="8" t="n">
        <v>2021</v>
      </c>
      <c r="F466" s="8" t="s">
        <v>36</v>
      </c>
      <c r="G466" s="8" t="s">
        <v>44</v>
      </c>
      <c r="H466" s="9" t="n">
        <v>6564779.8</v>
      </c>
      <c r="I466" s="9" t="n">
        <v>3735239.5</v>
      </c>
      <c r="J466" s="9" t="n">
        <v>488642.05</v>
      </c>
      <c r="K466" s="9" t="n">
        <v>2340898.25</v>
      </c>
      <c r="L466" s="8" t="n">
        <v>327</v>
      </c>
      <c r="M466" s="8" t="n">
        <v>7189</v>
      </c>
      <c r="N466" s="10" t="n">
        <v>35.66</v>
      </c>
    </row>
    <row r="467" customFormat="false" ht="15" hidden="false" customHeight="false" outlineLevel="0" collapsed="false">
      <c r="A467" s="8" t="s">
        <v>112</v>
      </c>
      <c r="B467" s="8" t="s">
        <v>113</v>
      </c>
      <c r="C467" s="8" t="s">
        <v>107</v>
      </c>
      <c r="D467" s="8" t="s">
        <v>102</v>
      </c>
      <c r="E467" s="8" t="n">
        <v>2021</v>
      </c>
      <c r="F467" s="8" t="s">
        <v>38</v>
      </c>
      <c r="G467" s="8" t="s">
        <v>45</v>
      </c>
      <c r="H467" s="9" t="n">
        <v>7623057.2</v>
      </c>
      <c r="I467" s="9" t="n">
        <v>5117887.27</v>
      </c>
      <c r="J467" s="9" t="n">
        <v>267370.52</v>
      </c>
      <c r="K467" s="9" t="n">
        <v>2237799.41</v>
      </c>
      <c r="L467" s="8" t="n">
        <v>330</v>
      </c>
      <c r="M467" s="8" t="n">
        <v>3362</v>
      </c>
      <c r="N467" s="10" t="n">
        <v>29.36</v>
      </c>
    </row>
    <row r="468" customFormat="false" ht="15" hidden="false" customHeight="false" outlineLevel="0" collapsed="false">
      <c r="A468" s="8" t="s">
        <v>112</v>
      </c>
      <c r="B468" s="8" t="s">
        <v>113</v>
      </c>
      <c r="C468" s="8" t="s">
        <v>107</v>
      </c>
      <c r="D468" s="8" t="s">
        <v>102</v>
      </c>
      <c r="E468" s="8" t="n">
        <v>2021</v>
      </c>
      <c r="F468" s="8" t="s">
        <v>40</v>
      </c>
      <c r="G468" s="8" t="s">
        <v>46</v>
      </c>
      <c r="H468" s="9" t="n">
        <v>6472966.85</v>
      </c>
      <c r="I468" s="9" t="n">
        <v>4705307.43</v>
      </c>
      <c r="J468" s="9" t="n">
        <v>504919.93</v>
      </c>
      <c r="K468" s="9" t="n">
        <v>1262739.49</v>
      </c>
      <c r="L468" s="8" t="n">
        <v>327</v>
      </c>
      <c r="M468" s="8" t="n">
        <v>5543</v>
      </c>
      <c r="N468" s="10" t="n">
        <v>19.51</v>
      </c>
    </row>
    <row r="469" customFormat="false" ht="15" hidden="false" customHeight="false" outlineLevel="0" collapsed="false">
      <c r="A469" s="8" t="s">
        <v>112</v>
      </c>
      <c r="B469" s="8" t="s">
        <v>113</v>
      </c>
      <c r="C469" s="8" t="s">
        <v>107</v>
      </c>
      <c r="D469" s="8" t="s">
        <v>102</v>
      </c>
      <c r="E469" s="8" t="n">
        <v>2021</v>
      </c>
      <c r="F469" s="8" t="s">
        <v>42</v>
      </c>
      <c r="G469" s="8" t="s">
        <v>47</v>
      </c>
      <c r="H469" s="9" t="n">
        <v>6188562.98</v>
      </c>
      <c r="I469" s="9" t="n">
        <v>4608477.57</v>
      </c>
      <c r="J469" s="9" t="n">
        <v>416848.19</v>
      </c>
      <c r="K469" s="9" t="n">
        <v>1163237.22</v>
      </c>
      <c r="L469" s="8" t="n">
        <v>327</v>
      </c>
      <c r="M469" s="8" t="n">
        <v>6830</v>
      </c>
      <c r="N469" s="10" t="n">
        <v>18.8</v>
      </c>
    </row>
    <row r="470" customFormat="false" ht="15" hidden="false" customHeight="false" outlineLevel="0" collapsed="false">
      <c r="A470" s="8" t="s">
        <v>112</v>
      </c>
      <c r="B470" s="8" t="s">
        <v>113</v>
      </c>
      <c r="C470" s="8" t="s">
        <v>107</v>
      </c>
      <c r="D470" s="8" t="s">
        <v>102</v>
      </c>
      <c r="E470" s="8" t="n">
        <v>2022</v>
      </c>
      <c r="F470" s="8" t="s">
        <v>36</v>
      </c>
      <c r="G470" s="8" t="s">
        <v>48</v>
      </c>
      <c r="H470" s="9" t="n">
        <v>6571466.78</v>
      </c>
      <c r="I470" s="9" t="n">
        <v>4493974.59</v>
      </c>
      <c r="J470" s="9" t="n">
        <v>353266.91</v>
      </c>
      <c r="K470" s="9" t="n">
        <v>1724225.28</v>
      </c>
      <c r="L470" s="8" t="n">
        <v>325</v>
      </c>
      <c r="M470" s="8" t="n">
        <v>3780</v>
      </c>
      <c r="N470" s="10" t="n">
        <v>26.24</v>
      </c>
    </row>
    <row r="471" customFormat="false" ht="15" hidden="false" customHeight="false" outlineLevel="0" collapsed="false">
      <c r="A471" s="8" t="s">
        <v>112</v>
      </c>
      <c r="B471" s="8" t="s">
        <v>113</v>
      </c>
      <c r="C471" s="8" t="s">
        <v>107</v>
      </c>
      <c r="D471" s="8" t="s">
        <v>102</v>
      </c>
      <c r="E471" s="8" t="n">
        <v>2022</v>
      </c>
      <c r="F471" s="8" t="s">
        <v>38</v>
      </c>
      <c r="G471" s="8" t="s">
        <v>49</v>
      </c>
      <c r="H471" s="9" t="n">
        <v>7662638.67</v>
      </c>
      <c r="I471" s="9" t="n">
        <v>4537497.55</v>
      </c>
      <c r="J471" s="9" t="n">
        <v>262538.04</v>
      </c>
      <c r="K471" s="9" t="n">
        <v>2862603.08</v>
      </c>
      <c r="L471" s="8" t="n">
        <v>323</v>
      </c>
      <c r="M471" s="8" t="n">
        <v>6098</v>
      </c>
      <c r="N471" s="10" t="n">
        <v>37.36</v>
      </c>
    </row>
    <row r="472" customFormat="false" ht="15" hidden="false" customHeight="false" outlineLevel="0" collapsed="false">
      <c r="A472" s="8" t="s">
        <v>112</v>
      </c>
      <c r="B472" s="8" t="s">
        <v>113</v>
      </c>
      <c r="C472" s="8" t="s">
        <v>107</v>
      </c>
      <c r="D472" s="8" t="s">
        <v>102</v>
      </c>
      <c r="E472" s="8" t="n">
        <v>2022</v>
      </c>
      <c r="F472" s="8" t="s">
        <v>40</v>
      </c>
      <c r="G472" s="8" t="s">
        <v>50</v>
      </c>
      <c r="H472" s="9" t="n">
        <v>6848335.49</v>
      </c>
      <c r="I472" s="9" t="n">
        <v>5116122.76</v>
      </c>
      <c r="J472" s="9" t="n">
        <v>423178.34</v>
      </c>
      <c r="K472" s="9" t="n">
        <v>1309034.39</v>
      </c>
      <c r="L472" s="8" t="n">
        <v>323</v>
      </c>
      <c r="M472" s="8" t="n">
        <v>5835</v>
      </c>
      <c r="N472" s="10" t="n">
        <v>19.11</v>
      </c>
    </row>
    <row r="473" customFormat="false" ht="15" hidden="false" customHeight="false" outlineLevel="0" collapsed="false">
      <c r="A473" s="8" t="s">
        <v>112</v>
      </c>
      <c r="B473" s="8" t="s">
        <v>113</v>
      </c>
      <c r="C473" s="8" t="s">
        <v>107</v>
      </c>
      <c r="D473" s="8" t="s">
        <v>102</v>
      </c>
      <c r="E473" s="8" t="n">
        <v>2022</v>
      </c>
      <c r="F473" s="8" t="s">
        <v>42</v>
      </c>
      <c r="G473" s="8" t="s">
        <v>51</v>
      </c>
      <c r="H473" s="9" t="n">
        <v>5964870.83</v>
      </c>
      <c r="I473" s="9" t="n">
        <v>3716825.18</v>
      </c>
      <c r="J473" s="9" t="n">
        <v>474786.42</v>
      </c>
      <c r="K473" s="9" t="n">
        <v>1773259.23</v>
      </c>
      <c r="L473" s="8" t="n">
        <v>321</v>
      </c>
      <c r="M473" s="8" t="n">
        <v>2426</v>
      </c>
      <c r="N473" s="10" t="n">
        <v>29.73</v>
      </c>
    </row>
    <row r="474" customFormat="false" ht="15" hidden="false" customHeight="false" outlineLevel="0" collapsed="false">
      <c r="A474" s="8" t="s">
        <v>112</v>
      </c>
      <c r="B474" s="8" t="s">
        <v>113</v>
      </c>
      <c r="C474" s="8" t="s">
        <v>107</v>
      </c>
      <c r="D474" s="8" t="s">
        <v>102</v>
      </c>
      <c r="E474" s="8" t="n">
        <v>2023</v>
      </c>
      <c r="F474" s="8" t="s">
        <v>36</v>
      </c>
      <c r="G474" s="8" t="s">
        <v>52</v>
      </c>
      <c r="H474" s="9" t="n">
        <v>6789943.8</v>
      </c>
      <c r="I474" s="9" t="n">
        <v>4908666.19</v>
      </c>
      <c r="J474" s="9" t="n">
        <v>343290.79</v>
      </c>
      <c r="K474" s="9" t="n">
        <v>1537986.82</v>
      </c>
      <c r="L474" s="8" t="n">
        <v>323</v>
      </c>
      <c r="M474" s="8" t="n">
        <v>3862</v>
      </c>
      <c r="N474" s="10" t="n">
        <v>22.65</v>
      </c>
    </row>
    <row r="475" customFormat="false" ht="15" hidden="false" customHeight="false" outlineLevel="0" collapsed="false">
      <c r="A475" s="8" t="s">
        <v>112</v>
      </c>
      <c r="B475" s="8" t="s">
        <v>113</v>
      </c>
      <c r="C475" s="8" t="s">
        <v>107</v>
      </c>
      <c r="D475" s="8" t="s">
        <v>102</v>
      </c>
      <c r="E475" s="8" t="n">
        <v>2023</v>
      </c>
      <c r="F475" s="8" t="s">
        <v>38</v>
      </c>
      <c r="G475" s="8" t="s">
        <v>53</v>
      </c>
      <c r="H475" s="9" t="n">
        <v>7437386.7</v>
      </c>
      <c r="I475" s="9" t="n">
        <v>4954339.42</v>
      </c>
      <c r="J475" s="9" t="n">
        <v>284323.18</v>
      </c>
      <c r="K475" s="9" t="n">
        <v>2198724.1</v>
      </c>
      <c r="L475" s="8" t="n">
        <v>323</v>
      </c>
      <c r="M475" s="8" t="n">
        <v>3996</v>
      </c>
      <c r="N475" s="10" t="n">
        <v>29.56</v>
      </c>
    </row>
    <row r="476" customFormat="false" ht="15" hidden="false" customHeight="false" outlineLevel="0" collapsed="false">
      <c r="A476" s="8" t="s">
        <v>112</v>
      </c>
      <c r="B476" s="8" t="s">
        <v>113</v>
      </c>
      <c r="C476" s="8" t="s">
        <v>107</v>
      </c>
      <c r="D476" s="8" t="s">
        <v>102</v>
      </c>
      <c r="E476" s="8" t="n">
        <v>2023</v>
      </c>
      <c r="F476" s="8" t="s">
        <v>40</v>
      </c>
      <c r="G476" s="8" t="s">
        <v>54</v>
      </c>
      <c r="H476" s="9" t="n">
        <v>6661431.83</v>
      </c>
      <c r="I476" s="9" t="n">
        <v>4072084.61</v>
      </c>
      <c r="J476" s="9" t="n">
        <v>383532.23</v>
      </c>
      <c r="K476" s="9" t="n">
        <v>2205814.99</v>
      </c>
      <c r="L476" s="8" t="n">
        <v>321</v>
      </c>
      <c r="M476" s="8" t="n">
        <v>3277</v>
      </c>
      <c r="N476" s="10" t="n">
        <v>33.11</v>
      </c>
    </row>
    <row r="477" customFormat="false" ht="15" hidden="false" customHeight="false" outlineLevel="0" collapsed="false">
      <c r="A477" s="8" t="s">
        <v>112</v>
      </c>
      <c r="B477" s="8" t="s">
        <v>113</v>
      </c>
      <c r="C477" s="8" t="s">
        <v>107</v>
      </c>
      <c r="D477" s="8" t="s">
        <v>102</v>
      </c>
      <c r="E477" s="8" t="n">
        <v>2023</v>
      </c>
      <c r="F477" s="8" t="s">
        <v>42</v>
      </c>
      <c r="G477" s="8" t="s">
        <v>55</v>
      </c>
      <c r="H477" s="9" t="n">
        <v>5670602</v>
      </c>
      <c r="I477" s="9" t="n">
        <v>4000098.55</v>
      </c>
      <c r="J477" s="9" t="n">
        <v>397127.8</v>
      </c>
      <c r="K477" s="9" t="n">
        <v>1273375.65</v>
      </c>
      <c r="L477" s="8" t="n">
        <v>324</v>
      </c>
      <c r="M477" s="8" t="n">
        <v>3307</v>
      </c>
      <c r="N477" s="10" t="n">
        <v>22.46</v>
      </c>
    </row>
    <row r="478" customFormat="false" ht="15" hidden="false" customHeight="false" outlineLevel="0" collapsed="false">
      <c r="A478" s="8" t="s">
        <v>112</v>
      </c>
      <c r="B478" s="8" t="s">
        <v>113</v>
      </c>
      <c r="C478" s="8" t="s">
        <v>107</v>
      </c>
      <c r="D478" s="8" t="s">
        <v>102</v>
      </c>
      <c r="E478" s="8" t="n">
        <v>2024</v>
      </c>
      <c r="F478" s="8" t="s">
        <v>36</v>
      </c>
      <c r="G478" s="8" t="s">
        <v>56</v>
      </c>
      <c r="H478" s="9" t="n">
        <v>7520893.92</v>
      </c>
      <c r="I478" s="9" t="n">
        <v>4160292.54</v>
      </c>
      <c r="J478" s="9" t="n">
        <v>649994.4</v>
      </c>
      <c r="K478" s="9" t="n">
        <v>2710606.98</v>
      </c>
      <c r="L478" s="8" t="n">
        <v>324</v>
      </c>
      <c r="M478" s="8" t="n">
        <v>3926</v>
      </c>
      <c r="N478" s="10" t="n">
        <v>36.04</v>
      </c>
    </row>
    <row r="479" customFormat="false" ht="15" hidden="false" customHeight="false" outlineLevel="0" collapsed="false">
      <c r="A479" s="8" t="s">
        <v>112</v>
      </c>
      <c r="B479" s="8" t="s">
        <v>113</v>
      </c>
      <c r="C479" s="8" t="s">
        <v>107</v>
      </c>
      <c r="D479" s="8" t="s">
        <v>102</v>
      </c>
      <c r="E479" s="8" t="n">
        <v>2024</v>
      </c>
      <c r="F479" s="8" t="s">
        <v>38</v>
      </c>
      <c r="G479" s="8" t="s">
        <v>57</v>
      </c>
      <c r="H479" s="9" t="n">
        <v>8320860.11</v>
      </c>
      <c r="I479" s="9" t="n">
        <v>5971432.67</v>
      </c>
      <c r="J479" s="9" t="n">
        <v>490854.63</v>
      </c>
      <c r="K479" s="9" t="n">
        <v>1858572.81</v>
      </c>
      <c r="L479" s="8" t="n">
        <v>327</v>
      </c>
      <c r="M479" s="8" t="n">
        <v>5578</v>
      </c>
      <c r="N479" s="10" t="n">
        <v>22.34</v>
      </c>
    </row>
    <row r="480" customFormat="false" ht="15" hidden="false" customHeight="false" outlineLevel="0" collapsed="false">
      <c r="A480" s="8" t="s">
        <v>112</v>
      </c>
      <c r="B480" s="8" t="s">
        <v>113</v>
      </c>
      <c r="C480" s="8" t="s">
        <v>107</v>
      </c>
      <c r="D480" s="8" t="s">
        <v>102</v>
      </c>
      <c r="E480" s="8" t="n">
        <v>2024</v>
      </c>
      <c r="F480" s="8" t="s">
        <v>40</v>
      </c>
      <c r="G480" s="8" t="s">
        <v>58</v>
      </c>
      <c r="H480" s="9" t="n">
        <v>6774931.37</v>
      </c>
      <c r="I480" s="9" t="n">
        <v>4950168.67</v>
      </c>
      <c r="J480" s="9" t="n">
        <v>412126.15</v>
      </c>
      <c r="K480" s="9" t="n">
        <v>1412636.55</v>
      </c>
      <c r="L480" s="8" t="n">
        <v>329</v>
      </c>
      <c r="M480" s="8" t="n">
        <v>4052</v>
      </c>
      <c r="N480" s="10" t="n">
        <v>20.85</v>
      </c>
    </row>
    <row r="481" customFormat="false" ht="15" hidden="false" customHeight="false" outlineLevel="0" collapsed="false">
      <c r="A481" s="8" t="s">
        <v>112</v>
      </c>
      <c r="B481" s="8" t="s">
        <v>113</v>
      </c>
      <c r="C481" s="8" t="s">
        <v>107</v>
      </c>
      <c r="D481" s="8" t="s">
        <v>102</v>
      </c>
      <c r="E481" s="8" t="n">
        <v>2024</v>
      </c>
      <c r="F481" s="8" t="s">
        <v>42</v>
      </c>
      <c r="G481" s="8" t="s">
        <v>59</v>
      </c>
      <c r="H481" s="9" t="n">
        <v>6503879</v>
      </c>
      <c r="I481" s="9" t="n">
        <v>3876086.49</v>
      </c>
      <c r="J481" s="9" t="n">
        <v>446717.07</v>
      </c>
      <c r="K481" s="9" t="n">
        <v>2181075.44</v>
      </c>
      <c r="L481" s="8" t="n">
        <v>331</v>
      </c>
      <c r="M481" s="8" t="n">
        <v>3378</v>
      </c>
      <c r="N481" s="10" t="n">
        <v>33.53</v>
      </c>
    </row>
    <row r="482" customFormat="false" ht="15" hidden="false" customHeight="false" outlineLevel="0" collapsed="false">
      <c r="A482" s="8" t="s">
        <v>114</v>
      </c>
      <c r="B482" s="8" t="s">
        <v>115</v>
      </c>
      <c r="C482" s="8" t="s">
        <v>107</v>
      </c>
      <c r="D482" s="8" t="s">
        <v>102</v>
      </c>
      <c r="E482" s="8" t="n">
        <v>2020</v>
      </c>
      <c r="F482" s="8" t="s">
        <v>36</v>
      </c>
      <c r="G482" s="8" t="s">
        <v>37</v>
      </c>
      <c r="H482" s="9" t="n">
        <v>2789706.7</v>
      </c>
      <c r="I482" s="9" t="n">
        <v>1761173.52</v>
      </c>
      <c r="J482" s="9" t="n">
        <v>165836.63</v>
      </c>
      <c r="K482" s="9" t="n">
        <v>862696.55</v>
      </c>
      <c r="L482" s="8" t="n">
        <v>434</v>
      </c>
      <c r="M482" s="8" t="n">
        <v>1567</v>
      </c>
      <c r="N482" s="10" t="n">
        <v>30.92</v>
      </c>
    </row>
    <row r="483" customFormat="false" ht="15" hidden="false" customHeight="false" outlineLevel="0" collapsed="false">
      <c r="A483" s="8" t="s">
        <v>114</v>
      </c>
      <c r="B483" s="8" t="s">
        <v>115</v>
      </c>
      <c r="C483" s="8" t="s">
        <v>107</v>
      </c>
      <c r="D483" s="8" t="s">
        <v>102</v>
      </c>
      <c r="E483" s="8" t="n">
        <v>2020</v>
      </c>
      <c r="F483" s="8" t="s">
        <v>38</v>
      </c>
      <c r="G483" s="8" t="s">
        <v>39</v>
      </c>
      <c r="H483" s="9" t="n">
        <v>3109406.18</v>
      </c>
      <c r="I483" s="9" t="n">
        <v>1799103.11</v>
      </c>
      <c r="J483" s="9" t="n">
        <v>199859.04</v>
      </c>
      <c r="K483" s="9" t="n">
        <v>1110444.03</v>
      </c>
      <c r="L483" s="8" t="n">
        <v>433</v>
      </c>
      <c r="M483" s="8" t="n">
        <v>2182</v>
      </c>
      <c r="N483" s="10" t="n">
        <v>35.71</v>
      </c>
    </row>
    <row r="484" customFormat="false" ht="15" hidden="false" customHeight="false" outlineLevel="0" collapsed="false">
      <c r="A484" s="8" t="s">
        <v>114</v>
      </c>
      <c r="B484" s="8" t="s">
        <v>115</v>
      </c>
      <c r="C484" s="8" t="s">
        <v>107</v>
      </c>
      <c r="D484" s="8" t="s">
        <v>102</v>
      </c>
      <c r="E484" s="8" t="n">
        <v>2020</v>
      </c>
      <c r="F484" s="8" t="s">
        <v>40</v>
      </c>
      <c r="G484" s="8" t="s">
        <v>41</v>
      </c>
      <c r="H484" s="9" t="n">
        <v>2943026.71</v>
      </c>
      <c r="I484" s="9" t="n">
        <v>1817406.87</v>
      </c>
      <c r="J484" s="9" t="n">
        <v>189511.47</v>
      </c>
      <c r="K484" s="9" t="n">
        <v>936108.37</v>
      </c>
      <c r="L484" s="8" t="n">
        <v>436</v>
      </c>
      <c r="M484" s="8" t="n">
        <v>1744</v>
      </c>
      <c r="N484" s="10" t="n">
        <v>31.81</v>
      </c>
    </row>
    <row r="485" customFormat="false" ht="15" hidden="false" customHeight="false" outlineLevel="0" collapsed="false">
      <c r="A485" s="8" t="s">
        <v>114</v>
      </c>
      <c r="B485" s="8" t="s">
        <v>115</v>
      </c>
      <c r="C485" s="8" t="s">
        <v>107</v>
      </c>
      <c r="D485" s="8" t="s">
        <v>102</v>
      </c>
      <c r="E485" s="8" t="n">
        <v>2020</v>
      </c>
      <c r="F485" s="8" t="s">
        <v>42</v>
      </c>
      <c r="G485" s="8" t="s">
        <v>43</v>
      </c>
      <c r="H485" s="9" t="n">
        <v>2342865.65</v>
      </c>
      <c r="I485" s="9" t="n">
        <v>1288882.27</v>
      </c>
      <c r="J485" s="9" t="n">
        <v>107291.16</v>
      </c>
      <c r="K485" s="9" t="n">
        <v>946692.22</v>
      </c>
      <c r="L485" s="8" t="n">
        <v>437</v>
      </c>
      <c r="M485" s="8" t="n">
        <v>1255</v>
      </c>
      <c r="N485" s="10" t="n">
        <v>40.41</v>
      </c>
    </row>
    <row r="486" customFormat="false" ht="15" hidden="false" customHeight="false" outlineLevel="0" collapsed="false">
      <c r="A486" s="8" t="s">
        <v>114</v>
      </c>
      <c r="B486" s="8" t="s">
        <v>115</v>
      </c>
      <c r="C486" s="8" t="s">
        <v>107</v>
      </c>
      <c r="D486" s="8" t="s">
        <v>102</v>
      </c>
      <c r="E486" s="8" t="n">
        <v>2021</v>
      </c>
      <c r="F486" s="8" t="s">
        <v>36</v>
      </c>
      <c r="G486" s="8" t="s">
        <v>44</v>
      </c>
      <c r="H486" s="9" t="n">
        <v>3433898.13</v>
      </c>
      <c r="I486" s="9" t="n">
        <v>2025660.16</v>
      </c>
      <c r="J486" s="9" t="n">
        <v>217229.25</v>
      </c>
      <c r="K486" s="9" t="n">
        <v>1191008.72</v>
      </c>
      <c r="L486" s="8" t="n">
        <v>440</v>
      </c>
      <c r="M486" s="8" t="n">
        <v>1423</v>
      </c>
      <c r="N486" s="10" t="n">
        <v>34.68</v>
      </c>
    </row>
    <row r="487" customFormat="false" ht="15" hidden="false" customHeight="false" outlineLevel="0" collapsed="false">
      <c r="A487" s="8" t="s">
        <v>114</v>
      </c>
      <c r="B487" s="8" t="s">
        <v>115</v>
      </c>
      <c r="C487" s="8" t="s">
        <v>107</v>
      </c>
      <c r="D487" s="8" t="s">
        <v>102</v>
      </c>
      <c r="E487" s="8" t="n">
        <v>2021</v>
      </c>
      <c r="F487" s="8" t="s">
        <v>38</v>
      </c>
      <c r="G487" s="8" t="s">
        <v>45</v>
      </c>
      <c r="H487" s="9" t="n">
        <v>3714768.96</v>
      </c>
      <c r="I487" s="9" t="n">
        <v>2197316.25</v>
      </c>
      <c r="J487" s="9" t="n">
        <v>176405.67</v>
      </c>
      <c r="K487" s="9" t="n">
        <v>1341047.04</v>
      </c>
      <c r="L487" s="8" t="n">
        <v>437</v>
      </c>
      <c r="M487" s="8" t="n">
        <v>2327</v>
      </c>
      <c r="N487" s="10" t="n">
        <v>36.1</v>
      </c>
    </row>
    <row r="488" customFormat="false" ht="15" hidden="false" customHeight="false" outlineLevel="0" collapsed="false">
      <c r="A488" s="8" t="s">
        <v>114</v>
      </c>
      <c r="B488" s="8" t="s">
        <v>115</v>
      </c>
      <c r="C488" s="8" t="s">
        <v>107</v>
      </c>
      <c r="D488" s="8" t="s">
        <v>102</v>
      </c>
      <c r="E488" s="8" t="n">
        <v>2021</v>
      </c>
      <c r="F488" s="8" t="s">
        <v>40</v>
      </c>
      <c r="G488" s="8" t="s">
        <v>46</v>
      </c>
      <c r="H488" s="9" t="n">
        <v>3721966.62</v>
      </c>
      <c r="I488" s="9" t="n">
        <v>2613136.42</v>
      </c>
      <c r="J488" s="9" t="n">
        <v>249056.21</v>
      </c>
      <c r="K488" s="9" t="n">
        <v>859773.99</v>
      </c>
      <c r="L488" s="8" t="n">
        <v>435</v>
      </c>
      <c r="M488" s="8" t="n">
        <v>1557</v>
      </c>
      <c r="N488" s="10" t="n">
        <v>23.1</v>
      </c>
    </row>
    <row r="489" customFormat="false" ht="15" hidden="false" customHeight="false" outlineLevel="0" collapsed="false">
      <c r="A489" s="8" t="s">
        <v>114</v>
      </c>
      <c r="B489" s="8" t="s">
        <v>115</v>
      </c>
      <c r="C489" s="8" t="s">
        <v>107</v>
      </c>
      <c r="D489" s="8" t="s">
        <v>102</v>
      </c>
      <c r="E489" s="8" t="n">
        <v>2021</v>
      </c>
      <c r="F489" s="8" t="s">
        <v>42</v>
      </c>
      <c r="G489" s="8" t="s">
        <v>47</v>
      </c>
      <c r="H489" s="9" t="n">
        <v>3329722.89</v>
      </c>
      <c r="I489" s="9" t="n">
        <v>2382452.05</v>
      </c>
      <c r="J489" s="9" t="n">
        <v>179378.64</v>
      </c>
      <c r="K489" s="9" t="n">
        <v>767892.2</v>
      </c>
      <c r="L489" s="8" t="n">
        <v>435</v>
      </c>
      <c r="M489" s="8" t="n">
        <v>1996</v>
      </c>
      <c r="N489" s="10" t="n">
        <v>23.06</v>
      </c>
    </row>
    <row r="490" customFormat="false" ht="15" hidden="false" customHeight="false" outlineLevel="0" collapsed="false">
      <c r="A490" s="8" t="s">
        <v>114</v>
      </c>
      <c r="B490" s="8" t="s">
        <v>115</v>
      </c>
      <c r="C490" s="8" t="s">
        <v>107</v>
      </c>
      <c r="D490" s="8" t="s">
        <v>102</v>
      </c>
      <c r="E490" s="8" t="n">
        <v>2022</v>
      </c>
      <c r="F490" s="8" t="s">
        <v>36</v>
      </c>
      <c r="G490" s="8" t="s">
        <v>48</v>
      </c>
      <c r="H490" s="9" t="n">
        <v>3538715.88</v>
      </c>
      <c r="I490" s="9" t="n">
        <v>2033629.82</v>
      </c>
      <c r="J490" s="9" t="n">
        <v>270404.48</v>
      </c>
      <c r="K490" s="9" t="n">
        <v>1234681.58</v>
      </c>
      <c r="L490" s="8" t="n">
        <v>432</v>
      </c>
      <c r="M490" s="8" t="n">
        <v>1572</v>
      </c>
      <c r="N490" s="10" t="n">
        <v>34.89</v>
      </c>
    </row>
    <row r="491" customFormat="false" ht="15" hidden="false" customHeight="false" outlineLevel="0" collapsed="false">
      <c r="A491" s="8" t="s">
        <v>114</v>
      </c>
      <c r="B491" s="8" t="s">
        <v>115</v>
      </c>
      <c r="C491" s="8" t="s">
        <v>107</v>
      </c>
      <c r="D491" s="8" t="s">
        <v>102</v>
      </c>
      <c r="E491" s="8" t="n">
        <v>2022</v>
      </c>
      <c r="F491" s="8" t="s">
        <v>38</v>
      </c>
      <c r="G491" s="8" t="s">
        <v>49</v>
      </c>
      <c r="H491" s="9" t="n">
        <v>4063763.62</v>
      </c>
      <c r="I491" s="9" t="n">
        <v>2365662.76</v>
      </c>
      <c r="J491" s="9" t="n">
        <v>326526.75</v>
      </c>
      <c r="K491" s="9" t="n">
        <v>1371574.11</v>
      </c>
      <c r="L491" s="8" t="n">
        <v>435</v>
      </c>
      <c r="M491" s="8" t="n">
        <v>3376</v>
      </c>
      <c r="N491" s="10" t="n">
        <v>33.75</v>
      </c>
    </row>
    <row r="492" customFormat="false" ht="15" hidden="false" customHeight="false" outlineLevel="0" collapsed="false">
      <c r="A492" s="8" t="s">
        <v>114</v>
      </c>
      <c r="B492" s="8" t="s">
        <v>115</v>
      </c>
      <c r="C492" s="8" t="s">
        <v>107</v>
      </c>
      <c r="D492" s="8" t="s">
        <v>102</v>
      </c>
      <c r="E492" s="8" t="n">
        <v>2022</v>
      </c>
      <c r="F492" s="8" t="s">
        <v>40</v>
      </c>
      <c r="G492" s="8" t="s">
        <v>50</v>
      </c>
      <c r="H492" s="9" t="n">
        <v>3902460.55</v>
      </c>
      <c r="I492" s="9" t="n">
        <v>2293974.88</v>
      </c>
      <c r="J492" s="9" t="n">
        <v>331310.91</v>
      </c>
      <c r="K492" s="9" t="n">
        <v>1277174.76</v>
      </c>
      <c r="L492" s="8" t="n">
        <v>433</v>
      </c>
      <c r="M492" s="8" t="n">
        <v>2122</v>
      </c>
      <c r="N492" s="10" t="n">
        <v>32.73</v>
      </c>
    </row>
    <row r="493" customFormat="false" ht="15" hidden="false" customHeight="false" outlineLevel="0" collapsed="false">
      <c r="A493" s="8" t="s">
        <v>114</v>
      </c>
      <c r="B493" s="8" t="s">
        <v>115</v>
      </c>
      <c r="C493" s="8" t="s">
        <v>107</v>
      </c>
      <c r="D493" s="8" t="s">
        <v>102</v>
      </c>
      <c r="E493" s="8" t="n">
        <v>2022</v>
      </c>
      <c r="F493" s="8" t="s">
        <v>42</v>
      </c>
      <c r="G493" s="8" t="s">
        <v>51</v>
      </c>
      <c r="H493" s="9" t="n">
        <v>3424318.83</v>
      </c>
      <c r="I493" s="9" t="n">
        <v>2397550.29</v>
      </c>
      <c r="J493" s="9" t="n">
        <v>183288.77</v>
      </c>
      <c r="K493" s="9" t="n">
        <v>843479.77</v>
      </c>
      <c r="L493" s="8" t="n">
        <v>434</v>
      </c>
      <c r="M493" s="8" t="n">
        <v>2846</v>
      </c>
      <c r="N493" s="10" t="n">
        <v>24.63</v>
      </c>
    </row>
    <row r="494" customFormat="false" ht="15" hidden="false" customHeight="false" outlineLevel="0" collapsed="false">
      <c r="A494" s="8" t="s">
        <v>114</v>
      </c>
      <c r="B494" s="8" t="s">
        <v>115</v>
      </c>
      <c r="C494" s="8" t="s">
        <v>107</v>
      </c>
      <c r="D494" s="8" t="s">
        <v>102</v>
      </c>
      <c r="E494" s="8" t="n">
        <v>2023</v>
      </c>
      <c r="F494" s="8" t="s">
        <v>36</v>
      </c>
      <c r="G494" s="8" t="s">
        <v>52</v>
      </c>
      <c r="H494" s="9" t="n">
        <v>3679762.16</v>
      </c>
      <c r="I494" s="9" t="n">
        <v>2293143.74</v>
      </c>
      <c r="J494" s="9" t="n">
        <v>315139.65</v>
      </c>
      <c r="K494" s="9" t="n">
        <v>1071478.77</v>
      </c>
      <c r="L494" s="8" t="n">
        <v>431</v>
      </c>
      <c r="M494" s="8" t="n">
        <v>2400</v>
      </c>
      <c r="N494" s="10" t="n">
        <v>29.12</v>
      </c>
    </row>
    <row r="495" customFormat="false" ht="15" hidden="false" customHeight="false" outlineLevel="0" collapsed="false">
      <c r="A495" s="8" t="s">
        <v>114</v>
      </c>
      <c r="B495" s="8" t="s">
        <v>115</v>
      </c>
      <c r="C495" s="8" t="s">
        <v>107</v>
      </c>
      <c r="D495" s="8" t="s">
        <v>102</v>
      </c>
      <c r="E495" s="8" t="n">
        <v>2023</v>
      </c>
      <c r="F495" s="8" t="s">
        <v>38</v>
      </c>
      <c r="G495" s="8" t="s">
        <v>53</v>
      </c>
      <c r="H495" s="9" t="n">
        <v>3782838.58</v>
      </c>
      <c r="I495" s="9" t="n">
        <v>2397247.07</v>
      </c>
      <c r="J495" s="9" t="n">
        <v>177672.62</v>
      </c>
      <c r="K495" s="9" t="n">
        <v>1207918.89</v>
      </c>
      <c r="L495" s="8" t="n">
        <v>430</v>
      </c>
      <c r="M495" s="8" t="n">
        <v>2911</v>
      </c>
      <c r="N495" s="10" t="n">
        <v>31.93</v>
      </c>
    </row>
    <row r="496" customFormat="false" ht="15" hidden="false" customHeight="false" outlineLevel="0" collapsed="false">
      <c r="A496" s="8" t="s">
        <v>114</v>
      </c>
      <c r="B496" s="8" t="s">
        <v>115</v>
      </c>
      <c r="C496" s="8" t="s">
        <v>107</v>
      </c>
      <c r="D496" s="8" t="s">
        <v>102</v>
      </c>
      <c r="E496" s="8" t="n">
        <v>2023</v>
      </c>
      <c r="F496" s="8" t="s">
        <v>40</v>
      </c>
      <c r="G496" s="8" t="s">
        <v>54</v>
      </c>
      <c r="H496" s="9" t="n">
        <v>3882421.07</v>
      </c>
      <c r="I496" s="9" t="n">
        <v>2284657.18</v>
      </c>
      <c r="J496" s="9" t="n">
        <v>268675.22</v>
      </c>
      <c r="K496" s="9" t="n">
        <v>1329088.67</v>
      </c>
      <c r="L496" s="8" t="n">
        <v>430</v>
      </c>
      <c r="M496" s="8" t="n">
        <v>2133</v>
      </c>
      <c r="N496" s="10" t="n">
        <v>34.23</v>
      </c>
    </row>
    <row r="497" customFormat="false" ht="15" hidden="false" customHeight="false" outlineLevel="0" collapsed="false">
      <c r="A497" s="8" t="s">
        <v>114</v>
      </c>
      <c r="B497" s="8" t="s">
        <v>115</v>
      </c>
      <c r="C497" s="8" t="s">
        <v>107</v>
      </c>
      <c r="D497" s="8" t="s">
        <v>102</v>
      </c>
      <c r="E497" s="8" t="n">
        <v>2023</v>
      </c>
      <c r="F497" s="8" t="s">
        <v>42</v>
      </c>
      <c r="G497" s="8" t="s">
        <v>55</v>
      </c>
      <c r="H497" s="9" t="n">
        <v>3124777.41</v>
      </c>
      <c r="I497" s="9" t="n">
        <v>1892030.65</v>
      </c>
      <c r="J497" s="9" t="n">
        <v>232308.51</v>
      </c>
      <c r="K497" s="9" t="n">
        <v>1000438.25</v>
      </c>
      <c r="L497" s="8" t="n">
        <v>428</v>
      </c>
      <c r="M497" s="8" t="n">
        <v>1258</v>
      </c>
      <c r="N497" s="10" t="n">
        <v>32.02</v>
      </c>
    </row>
    <row r="498" customFormat="false" ht="15" hidden="false" customHeight="false" outlineLevel="0" collapsed="false">
      <c r="A498" s="8" t="s">
        <v>114</v>
      </c>
      <c r="B498" s="8" t="s">
        <v>115</v>
      </c>
      <c r="C498" s="8" t="s">
        <v>107</v>
      </c>
      <c r="D498" s="8" t="s">
        <v>102</v>
      </c>
      <c r="E498" s="8" t="n">
        <v>2024</v>
      </c>
      <c r="F498" s="8" t="s">
        <v>36</v>
      </c>
      <c r="G498" s="8" t="s">
        <v>56</v>
      </c>
      <c r="H498" s="9" t="n">
        <v>3549820.53</v>
      </c>
      <c r="I498" s="9" t="n">
        <v>2555540.09</v>
      </c>
      <c r="J498" s="9" t="n">
        <v>173195.01</v>
      </c>
      <c r="K498" s="9" t="n">
        <v>821085.43</v>
      </c>
      <c r="L498" s="8" t="n">
        <v>426</v>
      </c>
      <c r="M498" s="8" t="n">
        <v>1481</v>
      </c>
      <c r="N498" s="10" t="n">
        <v>23.13</v>
      </c>
    </row>
    <row r="499" customFormat="false" ht="15" hidden="false" customHeight="false" outlineLevel="0" collapsed="false">
      <c r="A499" s="8" t="s">
        <v>114</v>
      </c>
      <c r="B499" s="8" t="s">
        <v>115</v>
      </c>
      <c r="C499" s="8" t="s">
        <v>107</v>
      </c>
      <c r="D499" s="8" t="s">
        <v>102</v>
      </c>
      <c r="E499" s="8" t="n">
        <v>2024</v>
      </c>
      <c r="F499" s="8" t="s">
        <v>38</v>
      </c>
      <c r="G499" s="8" t="s">
        <v>57</v>
      </c>
      <c r="H499" s="9" t="n">
        <v>3989366.19</v>
      </c>
      <c r="I499" s="9" t="n">
        <v>2243466.72</v>
      </c>
      <c r="J499" s="9" t="n">
        <v>341959.83</v>
      </c>
      <c r="K499" s="9" t="n">
        <v>1403939.64</v>
      </c>
      <c r="L499" s="8" t="n">
        <v>423</v>
      </c>
      <c r="M499" s="8" t="n">
        <v>1631</v>
      </c>
      <c r="N499" s="10" t="n">
        <v>35.19</v>
      </c>
    </row>
    <row r="500" customFormat="false" ht="15" hidden="false" customHeight="false" outlineLevel="0" collapsed="false">
      <c r="A500" s="8" t="s">
        <v>114</v>
      </c>
      <c r="B500" s="8" t="s">
        <v>115</v>
      </c>
      <c r="C500" s="8" t="s">
        <v>107</v>
      </c>
      <c r="D500" s="8" t="s">
        <v>102</v>
      </c>
      <c r="E500" s="8" t="n">
        <v>2024</v>
      </c>
      <c r="F500" s="8" t="s">
        <v>40</v>
      </c>
      <c r="G500" s="8" t="s">
        <v>58</v>
      </c>
      <c r="H500" s="9" t="n">
        <v>3746819.57</v>
      </c>
      <c r="I500" s="9" t="n">
        <v>2193532.43</v>
      </c>
      <c r="J500" s="9" t="n">
        <v>173786.62</v>
      </c>
      <c r="K500" s="9" t="n">
        <v>1379500.52</v>
      </c>
      <c r="L500" s="8" t="n">
        <v>420</v>
      </c>
      <c r="M500" s="8" t="n">
        <v>1560</v>
      </c>
      <c r="N500" s="10" t="n">
        <v>36.82</v>
      </c>
    </row>
    <row r="501" customFormat="false" ht="15" hidden="false" customHeight="false" outlineLevel="0" collapsed="false">
      <c r="A501" s="8" t="s">
        <v>114</v>
      </c>
      <c r="B501" s="8" t="s">
        <v>115</v>
      </c>
      <c r="C501" s="8" t="s">
        <v>107</v>
      </c>
      <c r="D501" s="8" t="s">
        <v>102</v>
      </c>
      <c r="E501" s="8" t="n">
        <v>2024</v>
      </c>
      <c r="F501" s="8" t="s">
        <v>42</v>
      </c>
      <c r="G501" s="8" t="s">
        <v>59</v>
      </c>
      <c r="H501" s="9" t="n">
        <v>3351505.55</v>
      </c>
      <c r="I501" s="9" t="n">
        <v>1985731.7</v>
      </c>
      <c r="J501" s="9" t="n">
        <v>101928.26</v>
      </c>
      <c r="K501" s="9" t="n">
        <v>1263845.59</v>
      </c>
      <c r="L501" s="8" t="n">
        <v>423</v>
      </c>
      <c r="M501" s="8" t="n">
        <v>2258</v>
      </c>
      <c r="N501" s="10" t="n">
        <v>37.71</v>
      </c>
    </row>
  </sheetData>
  <conditionalFormatting sqref="N2:N501">
    <cfRule type="dataBar" priority="2">
      <dataBar showValue="1" minLength="10" maxLength="90">
        <cfvo type="min" val="0"/>
        <cfvo type="max" val="0"/>
        <color rgb="FF2E86AB"/>
      </dataBar>
      <extLst>
        <ext xmlns:x14="http://schemas.microsoft.com/office/spreadsheetml/2009/9/main" uri="{B025F937-C7B1-47D3-B67F-A62EFF666E3E}">
          <x14:id>{E2306930-463F-4CE6-B894-CB50104158C0}</x14:id>
        </ext>
      </extLst>
    </cfRule>
  </conditionalFormatting>
  <conditionalFormatting sqref="K2:K50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306930-463F-4CE6-B894-CB50104158C0}">
            <x14:dataBar minLength="10" maxLength="90" axisPosition="none" gradient="true">
              <x14:cfvo type="min"/>
              <x14:cfvo type="max"/>
              <x14:negativeFillColor rgb="FF2E86AB"/>
              <x14:axisColor rgb="FF000000"/>
            </x14:dataBar>
          </x14:cfRule>
          <xm:sqref>N2:N501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20"/>
  </cols>
  <sheetData>
    <row r="2" customFormat="false" ht="19.7" hidden="false" customHeight="false" outlineLevel="0" collapsed="false">
      <c r="B2" s="11" t="s">
        <v>116</v>
      </c>
    </row>
    <row r="4" customFormat="false" ht="15" hidden="false" customHeight="false" outlineLevel="0" collapsed="false">
      <c r="B4" s="6" t="s">
        <v>117</v>
      </c>
      <c r="C4" s="12" t="s">
        <v>33</v>
      </c>
    </row>
    <row r="6" customFormat="false" ht="15" hidden="false" customHeight="false" outlineLevel="0" collapsed="false">
      <c r="B6" s="13" t="s">
        <v>118</v>
      </c>
      <c r="C6" s="13" t="s">
        <v>119</v>
      </c>
      <c r="D6" s="13" t="s">
        <v>120</v>
      </c>
    </row>
    <row r="7" customFormat="false" ht="15" hidden="false" customHeight="false" outlineLevel="0" collapsed="false">
      <c r="B7" s="8" t="s">
        <v>20</v>
      </c>
      <c r="C7" s="6" t="str">
        <f aca="false">INDEX(Data!$C$2:$C$501,MATCH($C$4,Data!$B$2:$B$501,0))</f>
        <v>Technology</v>
      </c>
      <c r="D7" s="14" t="s">
        <v>121</v>
      </c>
    </row>
    <row r="8" customFormat="false" ht="15" hidden="false" customHeight="false" outlineLevel="0" collapsed="false">
      <c r="B8" s="8" t="s">
        <v>21</v>
      </c>
      <c r="C8" s="6" t="str">
        <f aca="false">INDEX(Data!$D$2:$D$501,MATCH($C$4,Data!$B$2:$B$501,0))</f>
        <v>Jordan</v>
      </c>
      <c r="D8" s="14" t="s">
        <v>121</v>
      </c>
    </row>
    <row r="9" customFormat="false" ht="15" hidden="false" customHeight="false" outlineLevel="0" collapsed="false">
      <c r="B9" s="8" t="s">
        <v>122</v>
      </c>
      <c r="C9" s="15" t="n">
        <f aca="false">SUMIF(Data!$B$2:$B$501,$C$4,Data!$H$2:$H$501)</f>
        <v>101946784.65</v>
      </c>
      <c r="D9" s="14" t="s">
        <v>123</v>
      </c>
    </row>
    <row r="10" customFormat="false" ht="15" hidden="false" customHeight="false" outlineLevel="0" collapsed="false">
      <c r="B10" s="8" t="s">
        <v>124</v>
      </c>
      <c r="C10" s="15" t="n">
        <f aca="false">SUMIF(Data!$B$2:$B$501,$C$4,Data!$K$2:$K$501)</f>
        <v>31020621.855</v>
      </c>
      <c r="D10" s="14" t="s">
        <v>123</v>
      </c>
    </row>
    <row r="11" customFormat="false" ht="15" hidden="false" customHeight="false" outlineLevel="0" collapsed="false">
      <c r="B11" s="8" t="s">
        <v>125</v>
      </c>
      <c r="C11" s="16" t="n">
        <f aca="false">AVERAGEIF(Data!$B$2:$B$501,$C$4,Data!$N$2:$N$501)/100</f>
        <v>0.303125</v>
      </c>
      <c r="D11" s="14" t="s">
        <v>126</v>
      </c>
    </row>
    <row r="12" customFormat="false" ht="15" hidden="false" customHeight="false" outlineLevel="0" collapsed="false">
      <c r="B12" s="8" t="s">
        <v>127</v>
      </c>
      <c r="C12" s="17" t="n">
        <f aca="false">AVERAGEIF(Data!$B$2:$B$501,$C$4,Data!$L$2:$L$501)</f>
        <v>228.05</v>
      </c>
      <c r="D12" s="14" t="s">
        <v>126</v>
      </c>
    </row>
    <row r="15" customFormat="false" ht="15" hidden="false" customHeight="false" outlineLevel="0" collapsed="false">
      <c r="B15" s="14" t="s">
        <v>128</v>
      </c>
    </row>
  </sheetData>
  <dataValidations count="1">
    <dataValidation allowBlank="false" errorStyle="stop" operator="between" showDropDown="false" showErrorMessage="false" showInputMessage="false" sqref="C4" type="list">
      <formula1>"AssetPro FI,BazaarLine RE,BuildTech IN,CairoByte TE,CapitalWise FI,CarePlus HE,CodeNile TE,DeltaTech TE,FactoLine IN,FinEdge FI,HealPoint HE,IronWorks IN,MarketOne RE,MedCare HE,MetroIndustries IN,NileFinance FI,NileSoft TE,PixelWave TE,PulseMed HE,Retail"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8" min="3" style="0" width="15"/>
  </cols>
  <sheetData>
    <row r="2" customFormat="false" ht="19.7" hidden="false" customHeight="false" outlineLevel="0" collapsed="false">
      <c r="B2" s="11" t="s">
        <v>129</v>
      </c>
    </row>
    <row r="3" customFormat="false" ht="15" hidden="false" customHeight="false" outlineLevel="0" collapsed="false">
      <c r="B3" s="14" t="s">
        <v>130</v>
      </c>
    </row>
    <row r="6" customFormat="false" ht="15" hidden="false" customHeight="false" outlineLevel="0" collapsed="false">
      <c r="B6" s="18" t="s">
        <v>131</v>
      </c>
    </row>
    <row r="7" customFormat="false" ht="15" hidden="false" customHeight="false" outlineLevel="0" collapsed="false">
      <c r="B7" s="13" t="s">
        <v>20</v>
      </c>
      <c r="C7" s="13" t="n">
        <v>2020</v>
      </c>
      <c r="D7" s="13" t="n">
        <v>2021</v>
      </c>
      <c r="E7" s="13" t="n">
        <v>2022</v>
      </c>
      <c r="F7" s="13" t="n">
        <v>2023</v>
      </c>
      <c r="G7" s="13" t="n">
        <v>2024</v>
      </c>
      <c r="H7" s="13" t="s">
        <v>132</v>
      </c>
    </row>
    <row r="8" customFormat="false" ht="15" hidden="false" customHeight="false" outlineLevel="0" collapsed="false">
      <c r="B8" s="8" t="s">
        <v>95</v>
      </c>
      <c r="C8" s="19" t="n">
        <f aca="false">SUMIFS(Data!$H$2:$H$501,Data!$C$2:$C$501,$B8,Data!$E$2:$E$501,C$7)</f>
        <v>158811834.77</v>
      </c>
      <c r="D8" s="19" t="n">
        <f aca="false">SUMIFS(Data!$H$2:$H$501,Data!$C$2:$C$501,$B8,Data!$E$2:$E$501,D$7)</f>
        <v>159137959.77</v>
      </c>
      <c r="E8" s="19" t="n">
        <f aca="false">SUMIFS(Data!$H$2:$H$501,Data!$C$2:$C$501,$B8,Data!$E$2:$E$501,E$7)</f>
        <v>163386465.01</v>
      </c>
      <c r="F8" s="19" t="n">
        <f aca="false">SUMIFS(Data!$H$2:$H$501,Data!$C$2:$C$501,$B8,Data!$E$2:$E$501,F$7)</f>
        <v>164753768.96</v>
      </c>
      <c r="G8" s="19" t="n">
        <f aca="false">SUMIFS(Data!$H$2:$H$501,Data!$C$2:$C$501,$B8,Data!$E$2:$E$501,G$7)</f>
        <v>167245521.15</v>
      </c>
      <c r="H8" s="15" t="n">
        <f aca="false">SUM(C8:G8)</f>
        <v>813335549.66</v>
      </c>
    </row>
    <row r="9" customFormat="false" ht="15" hidden="false" customHeight="false" outlineLevel="0" collapsed="false">
      <c r="B9" s="8" t="s">
        <v>84</v>
      </c>
      <c r="C9" s="19" t="n">
        <f aca="false">SUMIFS(Data!$H$2:$H$501,Data!$C$2:$C$501,$B9,Data!$E$2:$E$501,C$7)</f>
        <v>66832210.85</v>
      </c>
      <c r="D9" s="19" t="n">
        <f aca="false">SUMIFS(Data!$H$2:$H$501,Data!$C$2:$C$501,$B9,Data!$E$2:$E$501,D$7)</f>
        <v>69159973.49</v>
      </c>
      <c r="E9" s="19" t="n">
        <f aca="false">SUMIFS(Data!$H$2:$H$501,Data!$C$2:$C$501,$B9,Data!$E$2:$E$501,E$7)</f>
        <v>70273272.99</v>
      </c>
      <c r="F9" s="19" t="n">
        <f aca="false">SUMIFS(Data!$H$2:$H$501,Data!$C$2:$C$501,$B9,Data!$E$2:$E$501,F$7)</f>
        <v>72929174.92</v>
      </c>
      <c r="G9" s="19" t="n">
        <f aca="false">SUMIFS(Data!$H$2:$H$501,Data!$C$2:$C$501,$B9,Data!$E$2:$E$501,G$7)</f>
        <v>75137650.33</v>
      </c>
      <c r="H9" s="15" t="n">
        <f aca="false">SUM(C9:G9)</f>
        <v>354332282.58</v>
      </c>
    </row>
    <row r="10" customFormat="false" ht="15" hidden="false" customHeight="false" outlineLevel="0" collapsed="false">
      <c r="B10" s="8" t="s">
        <v>107</v>
      </c>
      <c r="C10" s="19" t="n">
        <f aca="false">SUMIFS(Data!$H$2:$H$501,Data!$C$2:$C$501,$B10,Data!$E$2:$E$501,C$7)</f>
        <v>81352969.5</v>
      </c>
      <c r="D10" s="19" t="n">
        <f aca="false">SUMIFS(Data!$H$2:$H$501,Data!$C$2:$C$501,$B10,Data!$E$2:$E$501,D$7)</f>
        <v>105621385.52</v>
      </c>
      <c r="E10" s="19" t="n">
        <f aca="false">SUMIFS(Data!$H$2:$H$501,Data!$C$2:$C$501,$B10,Data!$E$2:$E$501,E$7)</f>
        <v>105596695.45</v>
      </c>
      <c r="F10" s="19" t="n">
        <f aca="false">SUMIFS(Data!$H$2:$H$501,Data!$C$2:$C$501,$B10,Data!$E$2:$E$501,F$7)</f>
        <v>106798096.22</v>
      </c>
      <c r="G10" s="19" t="n">
        <f aca="false">SUMIFS(Data!$H$2:$H$501,Data!$C$2:$C$501,$B10,Data!$E$2:$E$501,G$7)</f>
        <v>109634929.03</v>
      </c>
      <c r="H10" s="15" t="n">
        <f aca="false">SUM(C10:G10)</f>
        <v>509004075.72</v>
      </c>
    </row>
    <row r="11" customFormat="false" ht="15" hidden="false" customHeight="false" outlineLevel="0" collapsed="false">
      <c r="B11" s="8" t="s">
        <v>72</v>
      </c>
      <c r="C11" s="19" t="n">
        <f aca="false">SUMIFS(Data!$H$2:$H$501,Data!$C$2:$C$501,$B11,Data!$E$2:$E$501,C$7)</f>
        <v>111843061.86</v>
      </c>
      <c r="D11" s="19" t="n">
        <f aca="false">SUMIFS(Data!$H$2:$H$501,Data!$C$2:$C$501,$B11,Data!$E$2:$E$501,D$7)</f>
        <v>143073420.53</v>
      </c>
      <c r="E11" s="19" t="n">
        <f aca="false">SUMIFS(Data!$H$2:$H$501,Data!$C$2:$C$501,$B11,Data!$E$2:$E$501,E$7)</f>
        <v>148881490.79</v>
      </c>
      <c r="F11" s="19" t="n">
        <f aca="false">SUMIFS(Data!$H$2:$H$501,Data!$C$2:$C$501,$B11,Data!$E$2:$E$501,F$7)</f>
        <v>148818604.51</v>
      </c>
      <c r="G11" s="19" t="n">
        <f aca="false">SUMIFS(Data!$H$2:$H$501,Data!$C$2:$C$501,$B11,Data!$E$2:$E$501,G$7)</f>
        <v>148730616.44</v>
      </c>
      <c r="H11" s="15" t="n">
        <f aca="false">SUM(C11:G11)</f>
        <v>701347194.13</v>
      </c>
    </row>
    <row r="12" customFormat="false" ht="15" hidden="false" customHeight="false" outlineLevel="0" collapsed="false">
      <c r="B12" s="8" t="s">
        <v>34</v>
      </c>
      <c r="C12" s="19" t="n">
        <f aca="false">SUMIFS(Data!$H$2:$H$501,Data!$C$2:$C$501,$B12,Data!$E$2:$E$501,C$7)</f>
        <v>95596506.32</v>
      </c>
      <c r="D12" s="19" t="n">
        <f aca="false">SUMIFS(Data!$H$2:$H$501,Data!$C$2:$C$501,$B12,Data!$E$2:$E$501,D$7)</f>
        <v>99930759.25</v>
      </c>
      <c r="E12" s="19" t="n">
        <f aca="false">SUMIFS(Data!$H$2:$H$501,Data!$C$2:$C$501,$B12,Data!$E$2:$E$501,E$7)</f>
        <v>104075405.41</v>
      </c>
      <c r="F12" s="19" t="n">
        <f aca="false">SUMIFS(Data!$H$2:$H$501,Data!$C$2:$C$501,$B12,Data!$E$2:$E$501,F$7)</f>
        <v>112730795.2</v>
      </c>
      <c r="G12" s="19" t="n">
        <f aca="false">SUMIFS(Data!$H$2:$H$501,Data!$C$2:$C$501,$B12,Data!$E$2:$E$501,G$7)</f>
        <v>114856842.31</v>
      </c>
      <c r="H12" s="15" t="n">
        <f aca="false">SUM(C12:G12)</f>
        <v>527190308.49</v>
      </c>
    </row>
    <row r="15" customFormat="false" ht="15" hidden="false" customHeight="false" outlineLevel="0" collapsed="false">
      <c r="B15" s="18" t="s">
        <v>133</v>
      </c>
    </row>
    <row r="16" customFormat="false" ht="15" hidden="false" customHeight="false" outlineLevel="0" collapsed="false">
      <c r="B16" s="13" t="s">
        <v>20</v>
      </c>
      <c r="C16" s="13" t="s">
        <v>102</v>
      </c>
      <c r="D16" s="13" t="s">
        <v>35</v>
      </c>
      <c r="E16" s="13" t="s">
        <v>62</v>
      </c>
      <c r="F16" s="13" t="s">
        <v>73</v>
      </c>
      <c r="G16" s="13" t="s">
        <v>65</v>
      </c>
      <c r="H16" s="13" t="s">
        <v>132</v>
      </c>
    </row>
    <row r="17" customFormat="false" ht="15" hidden="false" customHeight="false" outlineLevel="0" collapsed="false">
      <c r="B17" s="8" t="s">
        <v>95</v>
      </c>
      <c r="C17" s="19" t="n">
        <f aca="false">SUMIFS(Data!$H$2:$H$501,Data!$C$2:$C$501,$B17,Data!$D$2:$D$501,C$16)</f>
        <v>177216888.98</v>
      </c>
      <c r="D17" s="19" t="n">
        <f aca="false">SUMIFS(Data!$H$2:$H$501,Data!$C$2:$C$501,$B17,Data!$D$2:$D$501,D$16)</f>
        <v>298659155.63</v>
      </c>
      <c r="E17" s="19" t="n">
        <f aca="false">SUMIFS(Data!$H$2:$H$501,Data!$C$2:$C$501,$B17,Data!$D$2:$D$501,E$16)</f>
        <v>184929280.38</v>
      </c>
      <c r="F17" s="19" t="n">
        <f aca="false">SUMIFS(Data!$H$2:$H$501,Data!$C$2:$C$501,$B17,Data!$D$2:$D$501,F$16)</f>
        <v>152530224.67</v>
      </c>
      <c r="G17" s="19" t="n">
        <f aca="false">SUMIFS(Data!$H$2:$H$501,Data!$C$2:$C$501,$B17,Data!$D$2:$D$501,G$16)</f>
        <v>0</v>
      </c>
      <c r="H17" s="15" t="n">
        <f aca="false">SUM(C17:G17)</f>
        <v>813335549.66</v>
      </c>
    </row>
    <row r="18" customFormat="false" ht="15" hidden="false" customHeight="false" outlineLevel="0" collapsed="false">
      <c r="B18" s="8" t="s">
        <v>84</v>
      </c>
      <c r="C18" s="19" t="n">
        <f aca="false">SUMIFS(Data!$H$2:$H$501,Data!$C$2:$C$501,$B18,Data!$D$2:$D$501,C$16)</f>
        <v>0</v>
      </c>
      <c r="D18" s="19" t="n">
        <f aca="false">SUMIFS(Data!$H$2:$H$501,Data!$C$2:$C$501,$B18,Data!$D$2:$D$501,D$16)</f>
        <v>138779497.05</v>
      </c>
      <c r="E18" s="19" t="n">
        <f aca="false">SUMIFS(Data!$H$2:$H$501,Data!$C$2:$C$501,$B18,Data!$D$2:$D$501,E$16)</f>
        <v>57504500.36</v>
      </c>
      <c r="F18" s="19" t="n">
        <f aca="false">SUMIFS(Data!$H$2:$H$501,Data!$C$2:$C$501,$B18,Data!$D$2:$D$501,F$16)</f>
        <v>98616173.02</v>
      </c>
      <c r="G18" s="19" t="n">
        <f aca="false">SUMIFS(Data!$H$2:$H$501,Data!$C$2:$C$501,$B18,Data!$D$2:$D$501,G$16)</f>
        <v>59432112.15</v>
      </c>
      <c r="H18" s="15" t="n">
        <f aca="false">SUM(C18:G18)</f>
        <v>354332282.58</v>
      </c>
    </row>
    <row r="19" customFormat="false" ht="15" hidden="false" customHeight="false" outlineLevel="0" collapsed="false">
      <c r="B19" s="8" t="s">
        <v>107</v>
      </c>
      <c r="C19" s="19" t="n">
        <f aca="false">SUMIFS(Data!$H$2:$H$501,Data!$C$2:$C$501,$B19,Data!$D$2:$D$501,C$16)</f>
        <v>199720583.02</v>
      </c>
      <c r="D19" s="19" t="n">
        <f aca="false">SUMIFS(Data!$H$2:$H$501,Data!$C$2:$C$501,$B19,Data!$D$2:$D$501,D$16)</f>
        <v>116689745.77</v>
      </c>
      <c r="E19" s="19" t="n">
        <f aca="false">SUMIFS(Data!$H$2:$H$501,Data!$C$2:$C$501,$B19,Data!$D$2:$D$501,E$16)</f>
        <v>102637439.46</v>
      </c>
      <c r="F19" s="19" t="n">
        <f aca="false">SUMIFS(Data!$H$2:$H$501,Data!$C$2:$C$501,$B19,Data!$D$2:$D$501,F$16)</f>
        <v>89956307.47</v>
      </c>
      <c r="G19" s="19" t="n">
        <f aca="false">SUMIFS(Data!$H$2:$H$501,Data!$C$2:$C$501,$B19,Data!$D$2:$D$501,G$16)</f>
        <v>0</v>
      </c>
      <c r="H19" s="15" t="n">
        <f aca="false">SUM(C19:G19)</f>
        <v>509004075.72</v>
      </c>
    </row>
    <row r="20" customFormat="false" ht="15" hidden="false" customHeight="false" outlineLevel="0" collapsed="false">
      <c r="B20" s="8" t="s">
        <v>72</v>
      </c>
      <c r="C20" s="19" t="n">
        <f aca="false">SUMIFS(Data!$H$2:$H$501,Data!$C$2:$C$501,$B20,Data!$D$2:$D$501,C$16)</f>
        <v>0</v>
      </c>
      <c r="D20" s="19" t="n">
        <f aca="false">SUMIFS(Data!$H$2:$H$501,Data!$C$2:$C$501,$B20,Data!$D$2:$D$501,D$16)</f>
        <v>0</v>
      </c>
      <c r="E20" s="19" t="n">
        <f aca="false">SUMIFS(Data!$H$2:$H$501,Data!$C$2:$C$501,$B20,Data!$D$2:$D$501,E$16)</f>
        <v>164146847.47</v>
      </c>
      <c r="F20" s="19" t="n">
        <f aca="false">SUMIFS(Data!$H$2:$H$501,Data!$C$2:$C$501,$B20,Data!$D$2:$D$501,F$16)</f>
        <v>145862336.8</v>
      </c>
      <c r="G20" s="19" t="n">
        <f aca="false">SUMIFS(Data!$H$2:$H$501,Data!$C$2:$C$501,$B20,Data!$D$2:$D$501,G$16)</f>
        <v>391338009.86</v>
      </c>
      <c r="H20" s="15" t="n">
        <f aca="false">SUM(C20:G20)</f>
        <v>701347194.13</v>
      </c>
    </row>
    <row r="21" customFormat="false" ht="15" hidden="false" customHeight="false" outlineLevel="0" collapsed="false">
      <c r="B21" s="8" t="s">
        <v>34</v>
      </c>
      <c r="C21" s="19" t="n">
        <f aca="false">SUMIFS(Data!$H$2:$H$501,Data!$C$2:$C$501,$B21,Data!$D$2:$D$501,C$16)</f>
        <v>0</v>
      </c>
      <c r="D21" s="19" t="n">
        <f aca="false">SUMIFS(Data!$H$2:$H$501,Data!$C$2:$C$501,$B21,Data!$D$2:$D$501,D$16)</f>
        <v>101946784.65</v>
      </c>
      <c r="E21" s="19" t="n">
        <f aca="false">SUMIFS(Data!$H$2:$H$501,Data!$C$2:$C$501,$B21,Data!$D$2:$D$501,E$16)</f>
        <v>358126448.41</v>
      </c>
      <c r="F21" s="19" t="n">
        <f aca="false">SUMIFS(Data!$H$2:$H$501,Data!$C$2:$C$501,$B21,Data!$D$2:$D$501,F$16)</f>
        <v>0</v>
      </c>
      <c r="G21" s="19" t="n">
        <f aca="false">SUMIFS(Data!$H$2:$H$501,Data!$C$2:$C$501,$B21,Data!$D$2:$D$501,G$16)</f>
        <v>67117075.43</v>
      </c>
      <c r="H21" s="15" t="n">
        <f aca="false">SUM(C21:G21)</f>
        <v>527190308.49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6" min="2" style="0" width="14"/>
    <col collapsed="false" customWidth="true" hidden="false" outlineLevel="0" max="9" min="7" style="0" width="20"/>
  </cols>
  <sheetData>
    <row r="2" customFormat="false" ht="19.7" hidden="false" customHeight="false" outlineLevel="0" collapsed="false">
      <c r="B2" s="20" t="s">
        <v>134</v>
      </c>
      <c r="C2" s="20"/>
      <c r="D2" s="20"/>
      <c r="E2" s="20"/>
      <c r="F2" s="20"/>
      <c r="G2" s="20"/>
      <c r="H2" s="20"/>
      <c r="I2" s="20"/>
      <c r="J2" s="20"/>
      <c r="K2" s="20"/>
    </row>
    <row r="4" customFormat="false" ht="15" hidden="false" customHeight="false" outlineLevel="0" collapsed="false">
      <c r="B4" s="6" t="s">
        <v>135</v>
      </c>
      <c r="C4" s="12" t="s">
        <v>136</v>
      </c>
      <c r="E4" s="6" t="s">
        <v>137</v>
      </c>
      <c r="F4" s="12" t="s">
        <v>136</v>
      </c>
    </row>
    <row r="6" customFormat="false" ht="15" hidden="false" customHeight="false" outlineLevel="0" collapsed="false">
      <c r="B6" s="21" t="s">
        <v>138</v>
      </c>
      <c r="C6" s="21"/>
      <c r="D6" s="21" t="s">
        <v>139</v>
      </c>
      <c r="E6" s="21"/>
      <c r="F6" s="21" t="s">
        <v>140</v>
      </c>
      <c r="G6" s="21"/>
      <c r="H6" s="21" t="s">
        <v>141</v>
      </c>
      <c r="I6" s="21"/>
    </row>
    <row r="7" customFormat="false" ht="22.05" hidden="false" customHeight="false" outlineLevel="0" collapsed="false">
      <c r="B7" s="22" t="n">
        <f aca="false">IF(AND($C$4="All",$F$4="All"),SUM(Data!$H$2:$H$501),IF($C$4="All",SUMIFS(Data!$H$2:$H$501,Data!$E$2:$E$501,$F$4),IF($F$4="All",SUMIFS(Data!$H$2:$H$501,Data!$C$2:$C$501,$C$4),SUMIFS(Data!$H$2:$H$501,Data!$C$2:$C$501,$C$4,Data!$E$2:$E$501,$F$4))))</f>
        <v>2905209410.58</v>
      </c>
      <c r="C7" s="22"/>
      <c r="D7" s="22" t="n">
        <f aca="false">IF(AND($C$4="All",$F$4="All"),SUM(Data!$K$2:$K$501),IF($C$4="All",SUMIFS(Data!$K$2:$K$501,Data!$E$2:$E$501,$F$4),IF($F$4="All",SUMIFS(Data!$K$2:$K$501,Data!$C$2:$C$501,$C$4),SUMIFS(Data!$K$2:$K$501,Data!$C$2:$C$501,$C$4,Data!$E$2:$E$501,$F$4))))</f>
        <v>843902956.53</v>
      </c>
      <c r="E7" s="22"/>
      <c r="F7" s="23" t="n">
        <f aca="false">IF(AND($C$4="All",$F$4="All"),AVERAGE(Data!$N$2:$N$501),IF($C$4="All",AVERAGEIFS(Data!$N$2:$N$501,Data!$E$2:$E$501,$F$4),IF($F$4="All",AVERAGEIFS(Data!$N$2:$N$501,Data!$C$2:$C$501,$C$4),AVERAGEIFS(Data!$N$2:$N$501,Data!$C$2:$C$501,$C$4,Data!$E$2:$E$501,$F$4))))/100</f>
        <v>0.2922562</v>
      </c>
      <c r="G7" s="23"/>
      <c r="H7" s="24" t="n">
        <f aca="false">IF(AND($C$4="All",$F$4="All"),SUM(Data!$L$2:$L$501),IF($C$4="All",SUMIFS(Data!$L$2:$L$501,Data!$E$2:$E$501,$F$4),IF($F$4="All",SUMIFS(Data!$L$2:$L$501,Data!$C$2:$C$501,$C$4),SUMIFS(Data!$L$2:$L$501,Data!$C$2:$C$501,$C$4,Data!$E$2:$E$501,$F$4))))</f>
        <v>128956</v>
      </c>
      <c r="I7" s="24"/>
    </row>
    <row r="10" customFormat="false" ht="15" hidden="false" customHeight="false" outlineLevel="0" collapsed="false">
      <c r="B10" s="18" t="s">
        <v>142</v>
      </c>
      <c r="G10" s="18" t="s">
        <v>143</v>
      </c>
    </row>
    <row r="11" customFormat="false" ht="15" hidden="false" customHeight="false" outlineLevel="0" collapsed="false">
      <c r="B11" s="13" t="s">
        <v>22</v>
      </c>
      <c r="C11" s="13" t="s">
        <v>25</v>
      </c>
      <c r="G11" s="13" t="s">
        <v>144</v>
      </c>
      <c r="H11" s="13" t="s">
        <v>145</v>
      </c>
      <c r="I11" s="13" t="s">
        <v>146</v>
      </c>
    </row>
    <row r="12" customFormat="false" ht="15" hidden="false" customHeight="false" outlineLevel="0" collapsed="false">
      <c r="B12" s="8" t="n">
        <v>2020</v>
      </c>
      <c r="C12" s="19" t="n">
        <f aca="false">IF($C$4="All",SUMIFS(Data!$H$2:$H$501,Data!$E$2:$E$501,B12),SUMIFS(Data!$H$2:$H$501,Data!$C$2:$C$501,$C$4,Data!$E$2:$E$501,B12))</f>
        <v>514436583.3</v>
      </c>
      <c r="G12" s="8" t="n">
        <v>1</v>
      </c>
      <c r="H12" s="8" t="str">
        <f aca="false">INDEX($G$41:$G$65,MATCH(I12,$H$41:$H$65,0))</f>
        <v>FinEdge FI</v>
      </c>
      <c r="I12" s="19" t="n">
        <f aca="false">LARGE($H$41:$H$65,G12)</f>
        <v>50789655.23</v>
      </c>
    </row>
    <row r="13" customFormat="false" ht="15" hidden="false" customHeight="false" outlineLevel="0" collapsed="false">
      <c r="B13" s="8" t="n">
        <v>2021</v>
      </c>
      <c r="C13" s="19" t="n">
        <f aca="false">IF($C$4="All",SUMIFS(Data!$H$2:$H$501,Data!$E$2:$E$501,B13),SUMIFS(Data!$H$2:$H$501,Data!$C$2:$C$501,$C$4,Data!$E$2:$E$501,B13))</f>
        <v>576923498.56</v>
      </c>
      <c r="G13" s="8" t="n">
        <v>2</v>
      </c>
      <c r="H13" s="8" t="str">
        <f aca="false">INDEX($G$41:$G$65,MATCH(I13,$H$41:$H$65,0))</f>
        <v>TrustBank FI</v>
      </c>
      <c r="I13" s="19" t="n">
        <f aca="false">LARGE($H$41:$H$65,G13)</f>
        <v>48190077.96</v>
      </c>
    </row>
    <row r="14" customFormat="false" ht="15" hidden="false" customHeight="false" outlineLevel="0" collapsed="false">
      <c r="B14" s="8" t="n">
        <v>2022</v>
      </c>
      <c r="C14" s="19" t="n">
        <f aca="false">IF($C$4="All",SUMIFS(Data!$H$2:$H$501,Data!$E$2:$E$501,B14),SUMIFS(Data!$H$2:$H$501,Data!$C$2:$C$501,$C$4,Data!$E$2:$E$501,B14))</f>
        <v>592213329.65</v>
      </c>
      <c r="G14" s="8" t="n">
        <v>3</v>
      </c>
      <c r="H14" s="8" t="str">
        <f aca="false">INDEX($G$41:$G$65,MATCH(I14,$H$41:$H$65,0))</f>
        <v>ShopWay RE</v>
      </c>
      <c r="I14" s="19" t="n">
        <f aca="false">LARGE($H$41:$H$65,G14)</f>
        <v>48176832.73</v>
      </c>
    </row>
    <row r="15" customFormat="false" ht="15" hidden="false" customHeight="false" outlineLevel="0" collapsed="false">
      <c r="B15" s="8" t="n">
        <v>2023</v>
      </c>
      <c r="C15" s="19" t="n">
        <f aca="false">IF($C$4="All",SUMIFS(Data!$H$2:$H$501,Data!$E$2:$E$501,B15),SUMIFS(Data!$H$2:$H$501,Data!$C$2:$C$501,$C$4,Data!$E$2:$E$501,B15))</f>
        <v>606030439.81</v>
      </c>
      <c r="G15" s="8" t="n">
        <v>4</v>
      </c>
      <c r="H15" s="8" t="str">
        <f aca="false">INDEX($G$41:$G$65,MATCH(I15,$H$41:$H$65,0))</f>
        <v>RetailHub RE</v>
      </c>
      <c r="I15" s="19" t="n">
        <f aca="false">LARGE($H$41:$H$65,G15)</f>
        <v>47745063.77</v>
      </c>
    </row>
    <row r="16" customFormat="false" ht="15" hidden="false" customHeight="false" outlineLevel="0" collapsed="false">
      <c r="B16" s="8" t="n">
        <v>2024</v>
      </c>
      <c r="C16" s="19" t="n">
        <f aca="false">IF($C$4="All",SUMIFS(Data!$H$2:$H$501,Data!$E$2:$E$501,B16),SUMIFS(Data!$H$2:$H$501,Data!$C$2:$C$501,$C$4,Data!$E$2:$E$501,B16))</f>
        <v>615605559.26</v>
      </c>
      <c r="G16" s="8" t="n">
        <v>5</v>
      </c>
      <c r="H16" s="8" t="str">
        <f aca="false">INDEX($G$41:$G$65,MATCH(I16,$H$41:$H$65,0))</f>
        <v>NileFinance FI</v>
      </c>
      <c r="I16" s="19" t="n">
        <f aca="false">LARGE($H$41:$H$65,G16)</f>
        <v>47049349.08</v>
      </c>
    </row>
    <row r="40" customFormat="false" ht="15" hidden="false" customHeight="false" outlineLevel="0" collapsed="false">
      <c r="G40" s="14" t="s">
        <v>147</v>
      </c>
    </row>
    <row r="41" customFormat="false" ht="15" hidden="false" customHeight="false" outlineLevel="0" collapsed="false">
      <c r="G41" s="8" t="s">
        <v>104</v>
      </c>
      <c r="H41" s="19" t="n">
        <f aca="false">IF($C$4="All",SUMIF(Data!$B$2:$B$501,G41,Data!$K$2:$K$501),IF(INDEX(Data!$C$2:$C$501,MATCH(G41,Data!$B$2:$B$501,0))=$C$4,SUMIF(Data!$B$2:$B$501,G41,Data!$K$2:$K$501),0))</f>
        <v>39879941.45</v>
      </c>
    </row>
    <row r="42" customFormat="false" ht="15" hidden="false" customHeight="false" outlineLevel="0" collapsed="false">
      <c r="G42" s="8" t="s">
        <v>77</v>
      </c>
      <c r="H42" s="19" t="n">
        <f aca="false">IF($C$4="All",SUMIF(Data!$B$2:$B$501,G42,Data!$K$2:$K$501),IF(INDEX(Data!$C$2:$C$501,MATCH(G42,Data!$B$2:$B$501,0))=$C$4,SUMIF(Data!$B$2:$B$501,G42,Data!$K$2:$K$501),0))</f>
        <v>33898930.15</v>
      </c>
    </row>
    <row r="43" customFormat="false" ht="15" hidden="false" customHeight="false" outlineLevel="0" collapsed="false">
      <c r="G43" s="8" t="s">
        <v>109</v>
      </c>
      <c r="H43" s="19" t="n">
        <f aca="false">IF($C$4="All",SUMIF(Data!$B$2:$B$501,G43,Data!$K$2:$K$501),IF(INDEX(Data!$C$2:$C$501,MATCH(G43,Data!$B$2:$B$501,0))=$C$4,SUMIF(Data!$B$2:$B$501,G43,Data!$K$2:$K$501),0))</f>
        <v>28028369.695</v>
      </c>
    </row>
    <row r="44" customFormat="false" ht="15" hidden="false" customHeight="false" outlineLevel="0" collapsed="false">
      <c r="G44" s="8" t="s">
        <v>64</v>
      </c>
      <c r="H44" s="19" t="n">
        <f aca="false">IF($C$4="All",SUMIF(Data!$B$2:$B$501,G44,Data!$K$2:$K$501),IF(INDEX(Data!$C$2:$C$501,MATCH(G44,Data!$B$2:$B$501,0))=$C$4,SUMIF(Data!$B$2:$B$501,G44,Data!$K$2:$K$501),0))</f>
        <v>19989166.82</v>
      </c>
    </row>
    <row r="45" customFormat="false" ht="15" hidden="false" customHeight="false" outlineLevel="0" collapsed="false">
      <c r="G45" s="8" t="s">
        <v>97</v>
      </c>
      <c r="H45" s="19" t="n">
        <f aca="false">IF($C$4="All",SUMIF(Data!$B$2:$B$501,G45,Data!$K$2:$K$501),IF(INDEX(Data!$C$2:$C$501,MATCH(G45,Data!$B$2:$B$501,0))=$C$4,SUMIF(Data!$B$2:$B$501,G45,Data!$K$2:$K$501),0))</f>
        <v>45069144.36</v>
      </c>
    </row>
    <row r="46" customFormat="false" ht="15" hidden="false" customHeight="false" outlineLevel="0" collapsed="false">
      <c r="G46" s="8" t="s">
        <v>92</v>
      </c>
      <c r="H46" s="19" t="n">
        <f aca="false">IF($C$4="All",SUMIF(Data!$B$2:$B$501,G46,Data!$K$2:$K$501),IF(INDEX(Data!$C$2:$C$501,MATCH(G46,Data!$B$2:$B$501,0))=$C$4,SUMIF(Data!$B$2:$B$501,G46,Data!$K$2:$K$501),0))</f>
        <v>23310405.41</v>
      </c>
    </row>
    <row r="47" customFormat="false" ht="15" hidden="false" customHeight="false" outlineLevel="0" collapsed="false">
      <c r="G47" s="8" t="s">
        <v>69</v>
      </c>
      <c r="H47" s="19" t="n">
        <f aca="false">IF($C$4="All",SUMIF(Data!$B$2:$B$501,G47,Data!$K$2:$K$501),IF(INDEX(Data!$C$2:$C$501,MATCH(G47,Data!$B$2:$B$501,0))=$C$4,SUMIF(Data!$B$2:$B$501,G47,Data!$K$2:$K$501),0))</f>
        <v>23883782.69</v>
      </c>
    </row>
    <row r="48" customFormat="false" ht="15" hidden="false" customHeight="false" outlineLevel="0" collapsed="false">
      <c r="G48" s="8" t="s">
        <v>61</v>
      </c>
      <c r="H48" s="19" t="n">
        <f aca="false">IF($C$4="All",SUMIF(Data!$B$2:$B$501,G48,Data!$K$2:$K$501),IF(INDEX(Data!$C$2:$C$501,MATCH(G48,Data!$B$2:$B$501,0))=$C$4,SUMIF(Data!$B$2:$B$501,G48,Data!$K$2:$K$501),0))</f>
        <v>41355178.215</v>
      </c>
    </row>
    <row r="49" customFormat="false" ht="15" hidden="false" customHeight="false" outlineLevel="0" collapsed="false">
      <c r="G49" s="8" t="s">
        <v>115</v>
      </c>
      <c r="H49" s="19" t="n">
        <f aca="false">IF($C$4="All",SUMIF(Data!$B$2:$B$501,G49,Data!$K$2:$K$501),IF(INDEX(Data!$C$2:$C$501,MATCH(G49,Data!$B$2:$B$501,0))=$C$4,SUMIF(Data!$B$2:$B$501,G49,Data!$K$2:$K$501),0))</f>
        <v>22219869.1</v>
      </c>
    </row>
    <row r="50" customFormat="false" ht="15" hidden="false" customHeight="false" outlineLevel="0" collapsed="false">
      <c r="G50" s="8" t="s">
        <v>99</v>
      </c>
      <c r="H50" s="19" t="n">
        <f aca="false">IF($C$4="All",SUMIF(Data!$B$2:$B$501,G50,Data!$K$2:$K$501),IF(INDEX(Data!$C$2:$C$501,MATCH(G50,Data!$B$2:$B$501,0))=$C$4,SUMIF(Data!$B$2:$B$501,G50,Data!$K$2:$K$501),0))</f>
        <v>50789655.23</v>
      </c>
    </row>
    <row r="51" customFormat="false" ht="15" hidden="false" customHeight="false" outlineLevel="0" collapsed="false">
      <c r="G51" s="8" t="s">
        <v>86</v>
      </c>
      <c r="H51" s="19" t="n">
        <f aca="false">IF($C$4="All",SUMIF(Data!$B$2:$B$501,G51,Data!$K$2:$K$501),IF(INDEX(Data!$C$2:$C$501,MATCH(G51,Data!$B$2:$B$501,0))=$C$4,SUMIF(Data!$B$2:$B$501,G51,Data!$K$2:$K$501),0))</f>
        <v>17305072.71</v>
      </c>
    </row>
    <row r="52" customFormat="false" ht="15" hidden="false" customHeight="false" outlineLevel="0" collapsed="false">
      <c r="G52" s="8" t="s">
        <v>111</v>
      </c>
      <c r="H52" s="19" t="n">
        <f aca="false">IF($C$4="All",SUMIF(Data!$B$2:$B$501,G52,Data!$K$2:$K$501),IF(INDEX(Data!$C$2:$C$501,MATCH(G52,Data!$B$2:$B$501,0))=$C$4,SUMIF(Data!$B$2:$B$501,G52,Data!$K$2:$K$501),0))</f>
        <v>31192116.51</v>
      </c>
    </row>
    <row r="53" customFormat="false" ht="15" hidden="false" customHeight="false" outlineLevel="0" collapsed="false">
      <c r="G53" s="8" t="s">
        <v>75</v>
      </c>
      <c r="H53" s="19" t="n">
        <f aca="false">IF($C$4="All",SUMIF(Data!$B$2:$B$501,G53,Data!$K$2:$K$501),IF(INDEX(Data!$C$2:$C$501,MATCH(G53,Data!$B$2:$B$501,0))=$C$4,SUMIF(Data!$B$2:$B$501,G53,Data!$K$2:$K$501),0))</f>
        <v>35234711.15</v>
      </c>
    </row>
    <row r="54" customFormat="false" ht="15" hidden="false" customHeight="false" outlineLevel="0" collapsed="false">
      <c r="G54" s="8" t="s">
        <v>83</v>
      </c>
      <c r="H54" s="19" t="n">
        <f aca="false">IF($C$4="All",SUMIF(Data!$B$2:$B$501,G54,Data!$K$2:$K$501),IF(INDEX(Data!$C$2:$C$501,MATCH(G54,Data!$B$2:$B$501,0))=$C$4,SUMIF(Data!$B$2:$B$501,G54,Data!$K$2:$K$501),0))</f>
        <v>18654711.88</v>
      </c>
    </row>
    <row r="55" customFormat="false" ht="15" hidden="false" customHeight="false" outlineLevel="0" collapsed="false">
      <c r="G55" s="8" t="s">
        <v>113</v>
      </c>
      <c r="H55" s="19" t="n">
        <f aca="false">IF($C$4="All",SUMIF(Data!$B$2:$B$501,G55,Data!$K$2:$K$501),IF(INDEX(Data!$C$2:$C$501,MATCH(G55,Data!$B$2:$B$501,0))=$C$4,SUMIF(Data!$B$2:$B$501,G55,Data!$K$2:$K$501),0))</f>
        <v>36741174.11</v>
      </c>
    </row>
    <row r="56" customFormat="false" ht="15" hidden="false" customHeight="false" outlineLevel="0" collapsed="false">
      <c r="G56" s="8" t="s">
        <v>101</v>
      </c>
      <c r="H56" s="19" t="n">
        <f aca="false">IF($C$4="All",SUMIF(Data!$B$2:$B$501,G56,Data!$K$2:$K$501),IF(INDEX(Data!$C$2:$C$501,MATCH(G56,Data!$B$2:$B$501,0))=$C$4,SUMIF(Data!$B$2:$B$501,G56,Data!$K$2:$K$501),0))</f>
        <v>47049349.08</v>
      </c>
    </row>
    <row r="57" customFormat="false" ht="15" hidden="false" customHeight="false" outlineLevel="0" collapsed="false">
      <c r="G57" s="8" t="s">
        <v>33</v>
      </c>
      <c r="H57" s="19" t="n">
        <f aca="false">IF($C$4="All",SUMIF(Data!$B$2:$B$501,G57,Data!$K$2:$K$501),IF(INDEX(Data!$C$2:$C$501,MATCH(G57,Data!$B$2:$B$501,0))=$C$4,SUMIF(Data!$B$2:$B$501,G57,Data!$K$2:$K$501),0))</f>
        <v>31020621.855</v>
      </c>
    </row>
    <row r="58" customFormat="false" ht="15" hidden="false" customHeight="false" outlineLevel="0" collapsed="false">
      <c r="G58" s="8" t="s">
        <v>67</v>
      </c>
      <c r="H58" s="19" t="n">
        <f aca="false">IF($C$4="All",SUMIF(Data!$B$2:$B$501,G58,Data!$K$2:$K$501),IF(INDEX(Data!$C$2:$C$501,MATCH(G58,Data!$B$2:$B$501,0))=$C$4,SUMIF(Data!$B$2:$B$501,G58,Data!$K$2:$K$501),0))</f>
        <v>40963276.98</v>
      </c>
    </row>
    <row r="59" customFormat="false" ht="15" hidden="false" customHeight="false" outlineLevel="0" collapsed="false">
      <c r="G59" s="8" t="s">
        <v>90</v>
      </c>
      <c r="H59" s="19" t="n">
        <f aca="false">IF($C$4="All",SUMIF(Data!$B$2:$B$501,G59,Data!$K$2:$K$501),IF(INDEX(Data!$C$2:$C$501,MATCH(G59,Data!$B$2:$B$501,0))=$C$4,SUMIF(Data!$B$2:$B$501,G59,Data!$K$2:$K$501),0))</f>
        <v>28856158.68</v>
      </c>
    </row>
    <row r="60" customFormat="false" ht="15" hidden="false" customHeight="false" outlineLevel="0" collapsed="false">
      <c r="G60" s="8" t="s">
        <v>79</v>
      </c>
      <c r="H60" s="19" t="n">
        <f aca="false">IF($C$4="All",SUMIF(Data!$B$2:$B$501,G60,Data!$K$2:$K$501),IF(INDEX(Data!$C$2:$C$501,MATCH(G60,Data!$B$2:$B$501,0))=$C$4,SUMIF(Data!$B$2:$B$501,G60,Data!$K$2:$K$501),0))</f>
        <v>47745063.77</v>
      </c>
    </row>
    <row r="61" customFormat="false" ht="15" hidden="false" customHeight="false" outlineLevel="0" collapsed="false">
      <c r="G61" s="8" t="s">
        <v>81</v>
      </c>
      <c r="H61" s="19" t="n">
        <f aca="false">IF($C$4="All",SUMIF(Data!$B$2:$B$501,G61,Data!$K$2:$K$501),IF(INDEX(Data!$C$2:$C$501,MATCH(G61,Data!$B$2:$B$501,0))=$C$4,SUMIF(Data!$B$2:$B$501,G61,Data!$K$2:$K$501),0))</f>
        <v>48176832.73</v>
      </c>
    </row>
    <row r="62" customFormat="false" ht="15" hidden="false" customHeight="false" outlineLevel="0" collapsed="false">
      <c r="G62" s="8" t="s">
        <v>71</v>
      </c>
      <c r="H62" s="19" t="n">
        <f aca="false">IF($C$4="All",SUMIF(Data!$B$2:$B$501,G62,Data!$K$2:$K$501),IF(INDEX(Data!$C$2:$C$501,MATCH(G62,Data!$B$2:$B$501,0))=$C$4,SUMIF(Data!$B$2:$B$501,G62,Data!$K$2:$K$501),0))</f>
        <v>41701438.79</v>
      </c>
    </row>
    <row r="63" customFormat="false" ht="15" hidden="false" customHeight="false" outlineLevel="0" collapsed="false">
      <c r="G63" s="8" t="s">
        <v>106</v>
      </c>
      <c r="H63" s="19" t="n">
        <f aca="false">IF($C$4="All",SUMIF(Data!$B$2:$B$501,G63,Data!$K$2:$K$501),IF(INDEX(Data!$C$2:$C$501,MATCH(G63,Data!$B$2:$B$501,0))=$C$4,SUMIF(Data!$B$2:$B$501,G63,Data!$K$2:$K$501),0))</f>
        <v>25487961.825</v>
      </c>
    </row>
    <row r="64" customFormat="false" ht="15" hidden="false" customHeight="false" outlineLevel="0" collapsed="false">
      <c r="G64" s="8" t="s">
        <v>94</v>
      </c>
      <c r="H64" s="19" t="n">
        <f aca="false">IF($C$4="All",SUMIF(Data!$B$2:$B$501,G64,Data!$K$2:$K$501),IF(INDEX(Data!$C$2:$C$501,MATCH(G64,Data!$B$2:$B$501,0))=$C$4,SUMIF(Data!$B$2:$B$501,G64,Data!$K$2:$K$501),0))</f>
        <v>48190077.96</v>
      </c>
    </row>
    <row r="65" customFormat="false" ht="15" hidden="false" customHeight="false" outlineLevel="0" collapsed="false">
      <c r="G65" s="8" t="s">
        <v>88</v>
      </c>
      <c r="H65" s="19" t="n">
        <f aca="false">IF($C$4="All",SUMIF(Data!$B$2:$B$501,G65,Data!$K$2:$K$501),IF(INDEX(Data!$C$2:$C$501,MATCH(G65,Data!$B$2:$B$501,0))=$C$4,SUMIF(Data!$B$2:$B$501,G65,Data!$K$2:$K$501),0))</f>
        <v>17159945.38</v>
      </c>
    </row>
  </sheetData>
  <mergeCells count="9">
    <mergeCell ref="B2:K2"/>
    <mergeCell ref="B6:C6"/>
    <mergeCell ref="D6:E6"/>
    <mergeCell ref="F6:G6"/>
    <mergeCell ref="H6:I6"/>
    <mergeCell ref="B7:C7"/>
    <mergeCell ref="D7:E7"/>
    <mergeCell ref="F7:G7"/>
    <mergeCell ref="H7:I7"/>
  </mergeCells>
  <dataValidations count="2">
    <dataValidation allowBlank="false" errorStyle="stop" operator="between" showDropDown="false" showErrorMessage="false" showInputMessage="false" sqref="C4" type="list">
      <formula1>"All,Finance,Healthcare,Industrial,Retail,Technology"</formula1>
      <formula2>0</formula2>
    </dataValidation>
    <dataValidation allowBlank="false" errorStyle="stop" operator="between" showDropDown="false" showErrorMessage="false" showInputMessage="false" sqref="F4" type="list">
      <formula1>"All,2020,2021,2022,2023,2024"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2026-09-19T11:43:29Z</dcterms:created>
  <dc:creator>openpyxl</dc:creator>
  <dc:description/>
  <dc:language>en-US</dc:language>
  <cp:lastModifiedBy/>
  <dcterms:modified xsi:type="dcterms:W3CDTF">2026-09-19T11:43:31Z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